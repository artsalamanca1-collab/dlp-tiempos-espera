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'Datos'!$A$1:$H$26103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IFERROR(ROUND(AVERAGEIFS(Datos!$G$2:$G$26103,Datos!$E$2:$E$26103,$A5,Datos!$D$2:$D$26103,$B5,Datos!$F$2:$F$26103,"STANDBY"),1),"")</f>
        <v/>
      </c>
      <c r="D5" s="5">
        <f>IFERROR(_xlfn.MAXIFS(Datos!$G$2:$G$26103,Datos!$E$2:$E$26103,$A5,Datos!$D$2:$D$26103,$B5,Datos!$F$2:$F$26103,"STANDBY"),"")</f>
        <v/>
      </c>
      <c r="E5" s="5">
        <f>IFERROR(_xlfn.MINIFS(Datos!$G$2:$G$26103,Datos!$E$2:$E$26103,$A5,Datos!$D$2:$D$26103,$B5,Datos!$F$2:$F$26103,"STANDBY"),"")</f>
        <v/>
      </c>
      <c r="F5" s="5">
        <f>IFERROR(ROUND(AVERAGEIFS(Datos!$G$2:$G$26103,Datos!$E$2:$E$26103,$A5,Datos!$D$2:$D$26103,$B5,Datos!$F$2:$F$26103,"SINGLE_RIDER"),1),"")</f>
        <v/>
      </c>
      <c r="G5" s="5">
        <f>COUNTIFS(Datos!$E$2:$E$26103,$A5,Datos!$D$2:$D$26103,$B5,Datos!$F$2:$F$26103,"STANDBY")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IFERROR(ROUND(AVERAGEIFS(Datos!$G$2:$G$26103,Datos!$E$2:$E$26103,$A6,Datos!$D$2:$D$26103,$B6,Datos!$F$2:$F$26103,"STANDBY"),1),"")</f>
        <v/>
      </c>
      <c r="D6" s="7">
        <f>IFERROR(_xlfn.MAXIFS(Datos!$G$2:$G$26103,Datos!$E$2:$E$26103,$A6,Datos!$D$2:$D$26103,$B6,Datos!$F$2:$F$26103,"STANDBY"),"")</f>
        <v/>
      </c>
      <c r="E6" s="7">
        <f>IFERROR(_xlfn.MINIFS(Datos!$G$2:$G$26103,Datos!$E$2:$E$26103,$A6,Datos!$D$2:$D$26103,$B6,Datos!$F$2:$F$26103,"STANDBY"),"")</f>
        <v/>
      </c>
      <c r="F6" s="7">
        <f>IFERROR(ROUND(AVERAGEIFS(Datos!$G$2:$G$26103,Datos!$E$2:$E$26103,$A6,Datos!$D$2:$D$26103,$B6,Datos!$F$2:$F$26103,"SINGLE_RIDER"),1),"")</f>
        <v/>
      </c>
      <c r="G6" s="7">
        <f>COUNTIFS(Datos!$E$2:$E$26103,$A6,Datos!$D$2:$D$26103,$B6,Datos!$F$2:$F$26103,"STANDBY")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IFERROR(ROUND(AVERAGEIFS(Datos!$G$2:$G$26103,Datos!$E$2:$E$26103,$A7,Datos!$D$2:$D$26103,$B7,Datos!$F$2:$F$26103,"STANDBY"),1),"")</f>
        <v/>
      </c>
      <c r="D7" s="5">
        <f>IFERROR(_xlfn.MAXIFS(Datos!$G$2:$G$26103,Datos!$E$2:$E$26103,$A7,Datos!$D$2:$D$26103,$B7,Datos!$F$2:$F$26103,"STANDBY"),"")</f>
        <v/>
      </c>
      <c r="E7" s="5">
        <f>IFERROR(_xlfn.MINIFS(Datos!$G$2:$G$26103,Datos!$E$2:$E$26103,$A7,Datos!$D$2:$D$26103,$B7,Datos!$F$2:$F$26103,"STANDBY"),"")</f>
        <v/>
      </c>
      <c r="F7" s="5">
        <f>IFERROR(ROUND(AVERAGEIFS(Datos!$G$2:$G$26103,Datos!$E$2:$E$26103,$A7,Datos!$D$2:$D$26103,$B7,Datos!$F$2:$F$26103,"SINGLE_RIDER"),1),"")</f>
        <v/>
      </c>
      <c r="G7" s="5">
        <f>COUNTIFS(Datos!$E$2:$E$26103,$A7,Datos!$D$2:$D$26103,$B7,Datos!$F$2:$F$26103,"STANDBY")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IFERROR(ROUND(AVERAGEIFS(Datos!$G$2:$G$26103,Datos!$E$2:$E$26103,$A8,Datos!$D$2:$D$26103,$B8,Datos!$F$2:$F$26103,"STANDBY"),1),"")</f>
        <v/>
      </c>
      <c r="D8" s="7">
        <f>IFERROR(_xlfn.MAXIFS(Datos!$G$2:$G$26103,Datos!$E$2:$E$26103,$A8,Datos!$D$2:$D$26103,$B8,Datos!$F$2:$F$26103,"STANDBY"),"")</f>
        <v/>
      </c>
      <c r="E8" s="7">
        <f>IFERROR(_xlfn.MINIFS(Datos!$G$2:$G$26103,Datos!$E$2:$E$26103,$A8,Datos!$D$2:$D$26103,$B8,Datos!$F$2:$F$26103,"STANDBY"),"")</f>
        <v/>
      </c>
      <c r="F8" s="7">
        <f>IFERROR(ROUND(AVERAGEIFS(Datos!$G$2:$G$26103,Datos!$E$2:$E$26103,$A8,Datos!$D$2:$D$26103,$B8,Datos!$F$2:$F$26103,"SINGLE_RIDER"),1),"")</f>
        <v/>
      </c>
      <c r="G8" s="7">
        <f>COUNTIFS(Datos!$E$2:$E$26103,$A8,Datos!$D$2:$D$26103,$B8,Datos!$F$2:$F$26103,"STANDBY")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IFERROR(ROUND(AVERAGEIFS(Datos!$G$2:$G$26103,Datos!$E$2:$E$26103,$A9,Datos!$D$2:$D$26103,$B9,Datos!$F$2:$F$26103,"STANDBY"),1),"")</f>
        <v/>
      </c>
      <c r="D9" s="5">
        <f>IFERROR(_xlfn.MAXIFS(Datos!$G$2:$G$26103,Datos!$E$2:$E$26103,$A9,Datos!$D$2:$D$26103,$B9,Datos!$F$2:$F$26103,"STANDBY"),"")</f>
        <v/>
      </c>
      <c r="E9" s="5">
        <f>IFERROR(_xlfn.MINIFS(Datos!$G$2:$G$26103,Datos!$E$2:$E$26103,$A9,Datos!$D$2:$D$26103,$B9,Datos!$F$2:$F$26103,"STANDBY"),"")</f>
        <v/>
      </c>
      <c r="F9" s="5">
        <f>IFERROR(ROUND(AVERAGEIFS(Datos!$G$2:$G$26103,Datos!$E$2:$E$26103,$A9,Datos!$D$2:$D$26103,$B9,Datos!$F$2:$F$26103,"SINGLE_RIDER"),1),"")</f>
        <v/>
      </c>
      <c r="G9" s="5">
        <f>COUNTIFS(Datos!$E$2:$E$26103,$A9,Datos!$D$2:$D$26103,$B9,Datos!$F$2:$F$26103,"STANDBY")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IFERROR(ROUND(AVERAGEIFS(Datos!$G$2:$G$26103,Datos!$E$2:$E$26103,$A10,Datos!$D$2:$D$26103,$B10,Datos!$F$2:$F$26103,"STANDBY"),1),"")</f>
        <v/>
      </c>
      <c r="D10" s="7">
        <f>IFERROR(_xlfn.MAXIFS(Datos!$G$2:$G$26103,Datos!$E$2:$E$26103,$A10,Datos!$D$2:$D$26103,$B10,Datos!$F$2:$F$26103,"STANDBY"),"")</f>
        <v/>
      </c>
      <c r="E10" s="7">
        <f>IFERROR(_xlfn.MINIFS(Datos!$G$2:$G$26103,Datos!$E$2:$E$26103,$A10,Datos!$D$2:$D$26103,$B10,Datos!$F$2:$F$26103,"STANDBY"),"")</f>
        <v/>
      </c>
      <c r="F10" s="7">
        <f>IFERROR(ROUND(AVERAGEIFS(Datos!$G$2:$G$26103,Datos!$E$2:$E$26103,$A10,Datos!$D$2:$D$26103,$B10,Datos!$F$2:$F$26103,"SINGLE_RIDER"),1),"")</f>
        <v/>
      </c>
      <c r="G10" s="7">
        <f>COUNTIFS(Datos!$E$2:$E$26103,$A10,Datos!$D$2:$D$26103,$B10,Datos!$F$2:$F$26103,"STANDBY")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IFERROR(ROUND(AVERAGEIFS(Datos!$G$2:$G$26103,Datos!$E$2:$E$26103,$A11,Datos!$D$2:$D$26103,$B11,Datos!$F$2:$F$26103,"STANDBY"),1),"")</f>
        <v/>
      </c>
      <c r="D11" s="5">
        <f>IFERROR(_xlfn.MAXIFS(Datos!$G$2:$G$26103,Datos!$E$2:$E$26103,$A11,Datos!$D$2:$D$26103,$B11,Datos!$F$2:$F$26103,"STANDBY"),"")</f>
        <v/>
      </c>
      <c r="E11" s="5">
        <f>IFERROR(_xlfn.MINIFS(Datos!$G$2:$G$26103,Datos!$E$2:$E$26103,$A11,Datos!$D$2:$D$26103,$B11,Datos!$F$2:$F$26103,"STANDBY"),"")</f>
        <v/>
      </c>
      <c r="F11" s="5">
        <f>IFERROR(ROUND(AVERAGEIFS(Datos!$G$2:$G$26103,Datos!$E$2:$E$26103,$A11,Datos!$D$2:$D$26103,$B11,Datos!$F$2:$F$26103,"SINGLE_RIDER"),1),"")</f>
        <v/>
      </c>
      <c r="G11" s="5">
        <f>COUNTIFS(Datos!$E$2:$E$26103,$A11,Datos!$D$2:$D$26103,$B11,Datos!$F$2:$F$26103,"STANDBY")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IFERROR(ROUND(AVERAGEIFS(Datos!$G$2:$G$26103,Datos!$E$2:$E$26103,$A12,Datos!$D$2:$D$26103,$B12,Datos!$F$2:$F$26103,"STANDBY"),1),"")</f>
        <v/>
      </c>
      <c r="D12" s="7">
        <f>IFERROR(_xlfn.MAXIFS(Datos!$G$2:$G$26103,Datos!$E$2:$E$26103,$A12,Datos!$D$2:$D$26103,$B12,Datos!$F$2:$F$26103,"STANDBY"),"")</f>
        <v/>
      </c>
      <c r="E12" s="7">
        <f>IFERROR(_xlfn.MINIFS(Datos!$G$2:$G$26103,Datos!$E$2:$E$26103,$A12,Datos!$D$2:$D$26103,$B12,Datos!$F$2:$F$26103,"STANDBY"),"")</f>
        <v/>
      </c>
      <c r="F12" s="7">
        <f>IFERROR(ROUND(AVERAGEIFS(Datos!$G$2:$G$26103,Datos!$E$2:$E$26103,$A12,Datos!$D$2:$D$26103,$B12,Datos!$F$2:$F$26103,"SINGLE_RIDER"),1),"")</f>
        <v/>
      </c>
      <c r="G12" s="7">
        <f>COUNTIFS(Datos!$E$2:$E$26103,$A12,Datos!$D$2:$D$26103,$B12,Datos!$F$2:$F$26103,"STANDBY")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IFERROR(ROUND(AVERAGEIFS(Datos!$G$2:$G$26103,Datos!$E$2:$E$26103,$A13,Datos!$D$2:$D$26103,$B13,Datos!$F$2:$F$26103,"STANDBY"),1),"")</f>
        <v/>
      </c>
      <c r="D13" s="5">
        <f>IFERROR(_xlfn.MAXIFS(Datos!$G$2:$G$26103,Datos!$E$2:$E$26103,$A13,Datos!$D$2:$D$26103,$B13,Datos!$F$2:$F$26103,"STANDBY"),"")</f>
        <v/>
      </c>
      <c r="E13" s="5">
        <f>IFERROR(_xlfn.MINIFS(Datos!$G$2:$G$26103,Datos!$E$2:$E$26103,$A13,Datos!$D$2:$D$26103,$B13,Datos!$F$2:$F$26103,"STANDBY"),"")</f>
        <v/>
      </c>
      <c r="F13" s="5">
        <f>IFERROR(ROUND(AVERAGEIFS(Datos!$G$2:$G$26103,Datos!$E$2:$E$26103,$A13,Datos!$D$2:$D$26103,$B13,Datos!$F$2:$F$26103,"SINGLE_RIDER"),1),"")</f>
        <v/>
      </c>
      <c r="G13" s="5">
        <f>COUNTIFS(Datos!$E$2:$E$26103,$A13,Datos!$D$2:$D$26103,$B13,Datos!$F$2:$F$26103,"STANDBY")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IFERROR(ROUND(AVERAGEIFS(Datos!$G$2:$G$26103,Datos!$E$2:$E$26103,$A14,Datos!$D$2:$D$26103,$B14,Datos!$F$2:$F$26103,"STANDBY"),1),"")</f>
        <v/>
      </c>
      <c r="D14" s="7">
        <f>IFERROR(_xlfn.MAXIFS(Datos!$G$2:$G$26103,Datos!$E$2:$E$26103,$A14,Datos!$D$2:$D$26103,$B14,Datos!$F$2:$F$26103,"STANDBY"),"")</f>
        <v/>
      </c>
      <c r="E14" s="7">
        <f>IFERROR(_xlfn.MINIFS(Datos!$G$2:$G$26103,Datos!$E$2:$E$26103,$A14,Datos!$D$2:$D$26103,$B14,Datos!$F$2:$F$26103,"STANDBY"),"")</f>
        <v/>
      </c>
      <c r="F14" s="7">
        <f>IFERROR(ROUND(AVERAGEIFS(Datos!$G$2:$G$26103,Datos!$E$2:$E$26103,$A14,Datos!$D$2:$D$26103,$B14,Datos!$F$2:$F$26103,"SINGLE_RIDER"),1),"")</f>
        <v/>
      </c>
      <c r="G14" s="7">
        <f>COUNTIFS(Datos!$E$2:$E$26103,$A14,Datos!$D$2:$D$26103,$B14,Datos!$F$2:$F$26103,"STANDBY")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IFERROR(ROUND(AVERAGEIFS(Datos!$G$2:$G$26103,Datos!$E$2:$E$26103,$A15,Datos!$D$2:$D$26103,$B15,Datos!$F$2:$F$26103,"STANDBY"),1),"")</f>
        <v/>
      </c>
      <c r="D15" s="5">
        <f>IFERROR(_xlfn.MAXIFS(Datos!$G$2:$G$26103,Datos!$E$2:$E$26103,$A15,Datos!$D$2:$D$26103,$B15,Datos!$F$2:$F$26103,"STANDBY"),"")</f>
        <v/>
      </c>
      <c r="E15" s="5">
        <f>IFERROR(_xlfn.MINIFS(Datos!$G$2:$G$26103,Datos!$E$2:$E$26103,$A15,Datos!$D$2:$D$26103,$B15,Datos!$F$2:$F$26103,"STANDBY"),"")</f>
        <v/>
      </c>
      <c r="F15" s="5">
        <f>IFERROR(ROUND(AVERAGEIFS(Datos!$G$2:$G$26103,Datos!$E$2:$E$26103,$A15,Datos!$D$2:$D$26103,$B15,Datos!$F$2:$F$26103,"SINGLE_RIDER"),1),"")</f>
        <v/>
      </c>
      <c r="G15" s="5">
        <f>COUNTIFS(Datos!$E$2:$E$26103,$A15,Datos!$D$2:$D$26103,$B15,Datos!$F$2:$F$26103,"STANDBY")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IFERROR(ROUND(AVERAGEIFS(Datos!$G$2:$G$26103,Datos!$E$2:$E$26103,$A16,Datos!$D$2:$D$26103,$B16,Datos!$F$2:$F$26103,"STANDBY"),1),"")</f>
        <v/>
      </c>
      <c r="D16" s="7">
        <f>IFERROR(_xlfn.MAXIFS(Datos!$G$2:$G$26103,Datos!$E$2:$E$26103,$A16,Datos!$D$2:$D$26103,$B16,Datos!$F$2:$F$26103,"STANDBY"),"")</f>
        <v/>
      </c>
      <c r="E16" s="7">
        <f>IFERROR(_xlfn.MINIFS(Datos!$G$2:$G$26103,Datos!$E$2:$E$26103,$A16,Datos!$D$2:$D$26103,$B16,Datos!$F$2:$F$26103,"STANDBY"),"")</f>
        <v/>
      </c>
      <c r="F16" s="7">
        <f>IFERROR(ROUND(AVERAGEIFS(Datos!$G$2:$G$26103,Datos!$E$2:$E$26103,$A16,Datos!$D$2:$D$26103,$B16,Datos!$F$2:$F$26103,"SINGLE_RIDER"),1),"")</f>
        <v/>
      </c>
      <c r="G16" s="7">
        <f>COUNTIFS(Datos!$E$2:$E$26103,$A16,Datos!$D$2:$D$26103,$B16,Datos!$F$2:$F$26103,"STANDBY")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IFERROR(ROUND(AVERAGEIFS(Datos!$G$2:$G$26103,Datos!$E$2:$E$26103,$A17,Datos!$D$2:$D$26103,$B17,Datos!$F$2:$F$26103,"STANDBY"),1),"")</f>
        <v/>
      </c>
      <c r="D17" s="5">
        <f>IFERROR(_xlfn.MAXIFS(Datos!$G$2:$G$26103,Datos!$E$2:$E$26103,$A17,Datos!$D$2:$D$26103,$B17,Datos!$F$2:$F$26103,"STANDBY"),"")</f>
        <v/>
      </c>
      <c r="E17" s="5">
        <f>IFERROR(_xlfn.MINIFS(Datos!$G$2:$G$26103,Datos!$E$2:$E$26103,$A17,Datos!$D$2:$D$26103,$B17,Datos!$F$2:$F$26103,"STANDBY"),"")</f>
        <v/>
      </c>
      <c r="F17" s="5">
        <f>IFERROR(ROUND(AVERAGEIFS(Datos!$G$2:$G$26103,Datos!$E$2:$E$26103,$A17,Datos!$D$2:$D$26103,$B17,Datos!$F$2:$F$26103,"SINGLE_RIDER"),1),"")</f>
        <v/>
      </c>
      <c r="G17" s="5">
        <f>COUNTIFS(Datos!$E$2:$E$26103,$A17,Datos!$D$2:$D$26103,$B17,Datos!$F$2:$F$26103,"STANDBY")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IFERROR(ROUND(AVERAGEIFS(Datos!$G$2:$G$26103,Datos!$E$2:$E$26103,$A18,Datos!$D$2:$D$26103,$B18,Datos!$F$2:$F$26103,"STANDBY"),1),"")</f>
        <v/>
      </c>
      <c r="D18" s="7">
        <f>IFERROR(_xlfn.MAXIFS(Datos!$G$2:$G$26103,Datos!$E$2:$E$26103,$A18,Datos!$D$2:$D$26103,$B18,Datos!$F$2:$F$26103,"STANDBY"),"")</f>
        <v/>
      </c>
      <c r="E18" s="7">
        <f>IFERROR(_xlfn.MINIFS(Datos!$G$2:$G$26103,Datos!$E$2:$E$26103,$A18,Datos!$D$2:$D$26103,$B18,Datos!$F$2:$F$26103,"STANDBY"),"")</f>
        <v/>
      </c>
      <c r="F18" s="7">
        <f>IFERROR(ROUND(AVERAGEIFS(Datos!$G$2:$G$26103,Datos!$E$2:$E$26103,$A18,Datos!$D$2:$D$26103,$B18,Datos!$F$2:$F$26103,"SINGLE_RIDER"),1),"")</f>
        <v/>
      </c>
      <c r="G18" s="7">
        <f>COUNTIFS(Datos!$E$2:$E$26103,$A18,Datos!$D$2:$D$26103,$B18,Datos!$F$2:$F$26103,"STANDBY")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IFERROR(ROUND(AVERAGEIFS(Datos!$G$2:$G$26103,Datos!$E$2:$E$26103,$A19,Datos!$D$2:$D$26103,$B19,Datos!$F$2:$F$26103,"STANDBY"),1),"")</f>
        <v/>
      </c>
      <c r="D19" s="5">
        <f>IFERROR(_xlfn.MAXIFS(Datos!$G$2:$G$26103,Datos!$E$2:$E$26103,$A19,Datos!$D$2:$D$26103,$B19,Datos!$F$2:$F$26103,"STANDBY"),"")</f>
        <v/>
      </c>
      <c r="E19" s="5">
        <f>IFERROR(_xlfn.MINIFS(Datos!$G$2:$G$26103,Datos!$E$2:$E$26103,$A19,Datos!$D$2:$D$26103,$B19,Datos!$F$2:$F$26103,"STANDBY"),"")</f>
        <v/>
      </c>
      <c r="F19" s="5">
        <f>IFERROR(ROUND(AVERAGEIFS(Datos!$G$2:$G$26103,Datos!$E$2:$E$26103,$A19,Datos!$D$2:$D$26103,$B19,Datos!$F$2:$F$26103,"SINGLE_RIDER"),1),"")</f>
        <v/>
      </c>
      <c r="G19" s="5">
        <f>COUNTIFS(Datos!$E$2:$E$26103,$A19,Datos!$D$2:$D$26103,$B19,Datos!$F$2:$F$26103,"STANDBY")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IFERROR(ROUND(AVERAGEIFS(Datos!$G$2:$G$26103,Datos!$E$2:$E$26103,$A20,Datos!$D$2:$D$26103,$B20,Datos!$F$2:$F$26103,"STANDBY"),1),"")</f>
        <v/>
      </c>
      <c r="D20" s="7">
        <f>IFERROR(_xlfn.MAXIFS(Datos!$G$2:$G$26103,Datos!$E$2:$E$26103,$A20,Datos!$D$2:$D$26103,$B20,Datos!$F$2:$F$26103,"STANDBY"),"")</f>
        <v/>
      </c>
      <c r="E20" s="7">
        <f>IFERROR(_xlfn.MINIFS(Datos!$G$2:$G$26103,Datos!$E$2:$E$26103,$A20,Datos!$D$2:$D$26103,$B20,Datos!$F$2:$F$26103,"STANDBY"),"")</f>
        <v/>
      </c>
      <c r="F20" s="7">
        <f>IFERROR(ROUND(AVERAGEIFS(Datos!$G$2:$G$26103,Datos!$E$2:$E$26103,$A20,Datos!$D$2:$D$26103,$B20,Datos!$F$2:$F$26103,"SINGLE_RIDER"),1),"")</f>
        <v/>
      </c>
      <c r="G20" s="7">
        <f>COUNTIFS(Datos!$E$2:$E$26103,$A20,Datos!$D$2:$D$26103,$B20,Datos!$F$2:$F$26103,"STANDBY")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IFERROR(ROUND(AVERAGEIFS(Datos!$G$2:$G$26103,Datos!$E$2:$E$26103,$A21,Datos!$D$2:$D$26103,$B21,Datos!$F$2:$F$26103,"STANDBY"),1),"")</f>
        <v/>
      </c>
      <c r="D21" s="5">
        <f>IFERROR(_xlfn.MAXIFS(Datos!$G$2:$G$26103,Datos!$E$2:$E$26103,$A21,Datos!$D$2:$D$26103,$B21,Datos!$F$2:$F$26103,"STANDBY"),"")</f>
        <v/>
      </c>
      <c r="E21" s="5">
        <f>IFERROR(_xlfn.MINIFS(Datos!$G$2:$G$26103,Datos!$E$2:$E$26103,$A21,Datos!$D$2:$D$26103,$B21,Datos!$F$2:$F$26103,"STANDBY"),"")</f>
        <v/>
      </c>
      <c r="F21" s="5">
        <f>IFERROR(ROUND(AVERAGEIFS(Datos!$G$2:$G$26103,Datos!$E$2:$E$26103,$A21,Datos!$D$2:$D$26103,$B21,Datos!$F$2:$F$26103,"SINGLE_RIDER"),1),"")</f>
        <v/>
      </c>
      <c r="G21" s="5">
        <f>COUNTIFS(Datos!$E$2:$E$26103,$A21,Datos!$D$2:$D$26103,$B21,Datos!$F$2:$F$26103,"STANDBY")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IFERROR(ROUND(AVERAGEIFS(Datos!$G$2:$G$26103,Datos!$E$2:$E$26103,$A22,Datos!$D$2:$D$26103,$B22,Datos!$F$2:$F$26103,"STANDBY"),1),"")</f>
        <v/>
      </c>
      <c r="D22" s="7">
        <f>IFERROR(_xlfn.MAXIFS(Datos!$G$2:$G$26103,Datos!$E$2:$E$26103,$A22,Datos!$D$2:$D$26103,$B22,Datos!$F$2:$F$26103,"STANDBY"),"")</f>
        <v/>
      </c>
      <c r="E22" s="7">
        <f>IFERROR(_xlfn.MINIFS(Datos!$G$2:$G$26103,Datos!$E$2:$E$26103,$A22,Datos!$D$2:$D$26103,$B22,Datos!$F$2:$F$26103,"STANDBY"),"")</f>
        <v/>
      </c>
      <c r="F22" s="7">
        <f>IFERROR(ROUND(AVERAGEIFS(Datos!$G$2:$G$26103,Datos!$E$2:$E$26103,$A22,Datos!$D$2:$D$26103,$B22,Datos!$F$2:$F$26103,"SINGLE_RIDER"),1),"")</f>
        <v/>
      </c>
      <c r="G22" s="7">
        <f>COUNTIFS(Datos!$E$2:$E$26103,$A22,Datos!$D$2:$D$26103,$B22,Datos!$F$2:$F$26103,"STANDBY")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IFERROR(ROUND(AVERAGEIFS(Datos!$G$2:$G$26103,Datos!$E$2:$E$26103,$A23,Datos!$D$2:$D$26103,$B23,Datos!$F$2:$F$26103,"STANDBY"),1),"")</f>
        <v/>
      </c>
      <c r="D23" s="5">
        <f>IFERROR(_xlfn.MAXIFS(Datos!$G$2:$G$26103,Datos!$E$2:$E$26103,$A23,Datos!$D$2:$D$26103,$B23,Datos!$F$2:$F$26103,"STANDBY"),"")</f>
        <v/>
      </c>
      <c r="E23" s="5">
        <f>IFERROR(_xlfn.MINIFS(Datos!$G$2:$G$26103,Datos!$E$2:$E$26103,$A23,Datos!$D$2:$D$26103,$B23,Datos!$F$2:$F$26103,"STANDBY"),"")</f>
        <v/>
      </c>
      <c r="F23" s="5">
        <f>IFERROR(ROUND(AVERAGEIFS(Datos!$G$2:$G$26103,Datos!$E$2:$E$26103,$A23,Datos!$D$2:$D$26103,$B23,Datos!$F$2:$F$26103,"SINGLE_RIDER"),1),"")</f>
        <v/>
      </c>
      <c r="G23" s="5">
        <f>COUNTIFS(Datos!$E$2:$E$26103,$A23,Datos!$D$2:$D$26103,$B23,Datos!$F$2:$F$26103,"STANDBY")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IFERROR(ROUND(AVERAGEIFS(Datos!$G$2:$G$26103,Datos!$E$2:$E$26103,$A24,Datos!$D$2:$D$26103,$B24,Datos!$F$2:$F$26103,"STANDBY"),1),"")</f>
        <v/>
      </c>
      <c r="D24" s="7">
        <f>IFERROR(_xlfn.MAXIFS(Datos!$G$2:$G$26103,Datos!$E$2:$E$26103,$A24,Datos!$D$2:$D$26103,$B24,Datos!$F$2:$F$26103,"STANDBY"),"")</f>
        <v/>
      </c>
      <c r="E24" s="7">
        <f>IFERROR(_xlfn.MINIFS(Datos!$G$2:$G$26103,Datos!$E$2:$E$26103,$A24,Datos!$D$2:$D$26103,$B24,Datos!$F$2:$F$26103,"STANDBY"),"")</f>
        <v/>
      </c>
      <c r="F24" s="7">
        <f>IFERROR(ROUND(AVERAGEIFS(Datos!$G$2:$G$26103,Datos!$E$2:$E$26103,$A24,Datos!$D$2:$D$26103,$B24,Datos!$F$2:$F$26103,"SINGLE_RIDER"),1),"")</f>
        <v/>
      </c>
      <c r="G24" s="7">
        <f>COUNTIFS(Datos!$E$2:$E$26103,$A24,Datos!$D$2:$D$26103,$B24,Datos!$F$2:$F$26103,"STANDBY")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IFERROR(ROUND(AVERAGEIFS(Datos!$G$2:$G$26103,Datos!$E$2:$E$26103,$A25,Datos!$D$2:$D$26103,$B25,Datos!$F$2:$F$26103,"STANDBY"),1),"")</f>
        <v/>
      </c>
      <c r="D25" s="5">
        <f>IFERROR(_xlfn.MAXIFS(Datos!$G$2:$G$26103,Datos!$E$2:$E$26103,$A25,Datos!$D$2:$D$26103,$B25,Datos!$F$2:$F$26103,"STANDBY"),"")</f>
        <v/>
      </c>
      <c r="E25" s="5">
        <f>IFERROR(_xlfn.MINIFS(Datos!$G$2:$G$26103,Datos!$E$2:$E$26103,$A25,Datos!$D$2:$D$26103,$B25,Datos!$F$2:$F$26103,"STANDBY"),"")</f>
        <v/>
      </c>
      <c r="F25" s="5">
        <f>IFERROR(ROUND(AVERAGEIFS(Datos!$G$2:$G$26103,Datos!$E$2:$E$26103,$A25,Datos!$D$2:$D$26103,$B25,Datos!$F$2:$F$26103,"SINGLE_RIDER"),1),"")</f>
        <v/>
      </c>
      <c r="G25" s="5">
        <f>COUNTIFS(Datos!$E$2:$E$26103,$A25,Datos!$D$2:$D$26103,$B25,Datos!$F$2:$F$26103,"STANDBY")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IFERROR(ROUND(AVERAGEIFS(Datos!$G$2:$G$26103,Datos!$E$2:$E$26103,$A26,Datos!$D$2:$D$26103,$B26,Datos!$F$2:$F$26103,"STANDBY"),1),"")</f>
        <v/>
      </c>
      <c r="D26" s="7">
        <f>IFERROR(_xlfn.MAXIFS(Datos!$G$2:$G$26103,Datos!$E$2:$E$26103,$A26,Datos!$D$2:$D$26103,$B26,Datos!$F$2:$F$26103,"STANDBY"),"")</f>
        <v/>
      </c>
      <c r="E26" s="7">
        <f>IFERROR(_xlfn.MINIFS(Datos!$G$2:$G$26103,Datos!$E$2:$E$26103,$A26,Datos!$D$2:$D$26103,$B26,Datos!$F$2:$F$26103,"STANDBY"),"")</f>
        <v/>
      </c>
      <c r="F26" s="7">
        <f>IFERROR(ROUND(AVERAGEIFS(Datos!$G$2:$G$26103,Datos!$E$2:$E$26103,$A26,Datos!$D$2:$D$26103,$B26,Datos!$F$2:$F$26103,"SINGLE_RIDER"),1),"")</f>
        <v/>
      </c>
      <c r="G26" s="7">
        <f>COUNTIFS(Datos!$E$2:$E$26103,$A26,Datos!$D$2:$D$26103,$B26,Datos!$F$2:$F$26103,"STANDBY")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IFERROR(ROUND(AVERAGEIFS(Datos!$G$2:$G$26103,Datos!$E$2:$E$26103,$A27,Datos!$D$2:$D$26103,$B27,Datos!$F$2:$F$26103,"STANDBY"),1),"")</f>
        <v/>
      </c>
      <c r="D27" s="5">
        <f>IFERROR(_xlfn.MAXIFS(Datos!$G$2:$G$26103,Datos!$E$2:$E$26103,$A27,Datos!$D$2:$D$26103,$B27,Datos!$F$2:$F$26103,"STANDBY"),"")</f>
        <v/>
      </c>
      <c r="E27" s="5">
        <f>IFERROR(_xlfn.MINIFS(Datos!$G$2:$G$26103,Datos!$E$2:$E$26103,$A27,Datos!$D$2:$D$26103,$B27,Datos!$F$2:$F$26103,"STANDBY"),"")</f>
        <v/>
      </c>
      <c r="F27" s="5">
        <f>IFERROR(ROUND(AVERAGEIFS(Datos!$G$2:$G$26103,Datos!$E$2:$E$26103,$A27,Datos!$D$2:$D$26103,$B27,Datos!$F$2:$F$26103,"SINGLE_RIDER"),1),"")</f>
        <v/>
      </c>
      <c r="G27" s="5">
        <f>COUNTIFS(Datos!$E$2:$E$26103,$A27,Datos!$D$2:$D$26103,$B27,Datos!$F$2:$F$26103,"STANDBY")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IFERROR(ROUND(AVERAGEIFS(Datos!$G$2:$G$26103,Datos!$E$2:$E$26103,$A28,Datos!$D$2:$D$26103,$B28,Datos!$F$2:$F$26103,"STANDBY"),1),"")</f>
        <v/>
      </c>
      <c r="D28" s="7">
        <f>IFERROR(_xlfn.MAXIFS(Datos!$G$2:$G$26103,Datos!$E$2:$E$26103,$A28,Datos!$D$2:$D$26103,$B28,Datos!$F$2:$F$26103,"STANDBY"),"")</f>
        <v/>
      </c>
      <c r="E28" s="7">
        <f>IFERROR(_xlfn.MINIFS(Datos!$G$2:$G$26103,Datos!$E$2:$E$26103,$A28,Datos!$D$2:$D$26103,$B28,Datos!$F$2:$F$26103,"STANDBY"),"")</f>
        <v/>
      </c>
      <c r="F28" s="7">
        <f>IFERROR(ROUND(AVERAGEIFS(Datos!$G$2:$G$26103,Datos!$E$2:$E$26103,$A28,Datos!$D$2:$D$26103,$B28,Datos!$F$2:$F$26103,"SINGLE_RIDER"),1),"")</f>
        <v/>
      </c>
      <c r="G28" s="7">
        <f>COUNTIFS(Datos!$E$2:$E$26103,$A28,Datos!$D$2:$D$26103,$B28,Datos!$F$2:$F$26103,"STANDBY")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IFERROR(ROUND(AVERAGEIFS(Datos!$G$2:$G$26103,Datos!$E$2:$E$26103,$A29,Datos!$D$2:$D$26103,$B29,Datos!$F$2:$F$26103,"STANDBY"),1),"")</f>
        <v/>
      </c>
      <c r="D29" s="5">
        <f>IFERROR(_xlfn.MAXIFS(Datos!$G$2:$G$26103,Datos!$E$2:$E$26103,$A29,Datos!$D$2:$D$26103,$B29,Datos!$F$2:$F$26103,"STANDBY"),"")</f>
        <v/>
      </c>
      <c r="E29" s="5">
        <f>IFERROR(_xlfn.MINIFS(Datos!$G$2:$G$26103,Datos!$E$2:$E$26103,$A29,Datos!$D$2:$D$26103,$B29,Datos!$F$2:$F$26103,"STANDBY"),"")</f>
        <v/>
      </c>
      <c r="F29" s="5">
        <f>IFERROR(ROUND(AVERAGEIFS(Datos!$G$2:$G$26103,Datos!$E$2:$E$26103,$A29,Datos!$D$2:$D$26103,$B29,Datos!$F$2:$F$26103,"SINGLE_RIDER"),1),"")</f>
        <v/>
      </c>
      <c r="G29" s="5">
        <f>COUNTIFS(Datos!$E$2:$E$26103,$A29,Datos!$D$2:$D$26103,$B29,Datos!$F$2:$F$26103,"STANDBY")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IFERROR(ROUND(AVERAGEIFS(Datos!$G$2:$G$26103,Datos!$E$2:$E$26103,$A30,Datos!$D$2:$D$26103,$B30,Datos!$F$2:$F$26103,"STANDBY"),1),"")</f>
        <v/>
      </c>
      <c r="D30" s="7">
        <f>IFERROR(_xlfn.MAXIFS(Datos!$G$2:$G$26103,Datos!$E$2:$E$26103,$A30,Datos!$D$2:$D$26103,$B30,Datos!$F$2:$F$26103,"STANDBY"),"")</f>
        <v/>
      </c>
      <c r="E30" s="7">
        <f>IFERROR(_xlfn.MINIFS(Datos!$G$2:$G$26103,Datos!$E$2:$E$26103,$A30,Datos!$D$2:$D$26103,$B30,Datos!$F$2:$F$26103,"STANDBY"),"")</f>
        <v/>
      </c>
      <c r="F30" s="7">
        <f>IFERROR(ROUND(AVERAGEIFS(Datos!$G$2:$G$26103,Datos!$E$2:$E$26103,$A30,Datos!$D$2:$D$26103,$B30,Datos!$F$2:$F$26103,"SINGLE_RIDER"),1),"")</f>
        <v/>
      </c>
      <c r="G30" s="7">
        <f>COUNTIFS(Datos!$E$2:$E$26103,$A30,Datos!$D$2:$D$26103,$B30,Datos!$F$2:$F$26103,"STANDBY")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IFERROR(ROUND(AVERAGEIFS(Datos!$G$2:$G$26103,Datos!$E$2:$E$26103,$A31,Datos!$D$2:$D$26103,$B31,Datos!$F$2:$F$26103,"STANDBY"),1),"")</f>
        <v/>
      </c>
      <c r="D31" s="5">
        <f>IFERROR(_xlfn.MAXIFS(Datos!$G$2:$G$26103,Datos!$E$2:$E$26103,$A31,Datos!$D$2:$D$26103,$B31,Datos!$F$2:$F$26103,"STANDBY"),"")</f>
        <v/>
      </c>
      <c r="E31" s="5">
        <f>IFERROR(_xlfn.MINIFS(Datos!$G$2:$G$26103,Datos!$E$2:$E$26103,$A31,Datos!$D$2:$D$26103,$B31,Datos!$F$2:$F$26103,"STANDBY"),"")</f>
        <v/>
      </c>
      <c r="F31" s="5">
        <f>IFERROR(ROUND(AVERAGEIFS(Datos!$G$2:$G$26103,Datos!$E$2:$E$26103,$A31,Datos!$D$2:$D$26103,$B31,Datos!$F$2:$F$26103,"SINGLE_RIDER"),1),"")</f>
        <v/>
      </c>
      <c r="G31" s="5">
        <f>COUNTIFS(Datos!$E$2:$E$26103,$A31,Datos!$D$2:$D$26103,$B31,Datos!$F$2:$F$26103,"STANDBY")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IFERROR(ROUND(AVERAGEIFS(Datos!$G$2:$G$26103,Datos!$E$2:$E$26103,$A32,Datos!$D$2:$D$26103,$B32,Datos!$F$2:$F$26103,"STANDBY"),1),"")</f>
        <v/>
      </c>
      <c r="D32" s="7">
        <f>IFERROR(_xlfn.MAXIFS(Datos!$G$2:$G$26103,Datos!$E$2:$E$26103,$A32,Datos!$D$2:$D$26103,$B32,Datos!$F$2:$F$26103,"STANDBY"),"")</f>
        <v/>
      </c>
      <c r="E32" s="7">
        <f>IFERROR(_xlfn.MINIFS(Datos!$G$2:$G$26103,Datos!$E$2:$E$26103,$A32,Datos!$D$2:$D$26103,$B32,Datos!$F$2:$F$26103,"STANDBY"),"")</f>
        <v/>
      </c>
      <c r="F32" s="7">
        <f>IFERROR(ROUND(AVERAGEIFS(Datos!$G$2:$G$26103,Datos!$E$2:$E$26103,$A32,Datos!$D$2:$D$26103,$B32,Datos!$F$2:$F$26103,"SINGLE_RIDER"),1),"")</f>
        <v/>
      </c>
      <c r="G32" s="7">
        <f>COUNTIFS(Datos!$E$2:$E$26103,$A32,Datos!$D$2:$D$26103,$B32,Datos!$F$2:$F$26103,"STANDBY")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IFERROR(ROUND(AVERAGEIFS(Datos!$G$2:$G$26103,Datos!$E$2:$E$26103,$A33,Datos!$D$2:$D$26103,$B33,Datos!$F$2:$F$26103,"STANDBY"),1),"")</f>
        <v/>
      </c>
      <c r="D33" s="5">
        <f>IFERROR(_xlfn.MAXIFS(Datos!$G$2:$G$26103,Datos!$E$2:$E$26103,$A33,Datos!$D$2:$D$26103,$B33,Datos!$F$2:$F$26103,"STANDBY"),"")</f>
        <v/>
      </c>
      <c r="E33" s="5">
        <f>IFERROR(_xlfn.MINIFS(Datos!$G$2:$G$26103,Datos!$E$2:$E$26103,$A33,Datos!$D$2:$D$26103,$B33,Datos!$F$2:$F$26103,"STANDBY"),"")</f>
        <v/>
      </c>
      <c r="F33" s="5">
        <f>IFERROR(ROUND(AVERAGEIFS(Datos!$G$2:$G$26103,Datos!$E$2:$E$26103,$A33,Datos!$D$2:$D$26103,$B33,Datos!$F$2:$F$26103,"SINGLE_RIDER"),1),"")</f>
        <v/>
      </c>
      <c r="G33" s="5">
        <f>COUNTIFS(Datos!$E$2:$E$26103,$A33,Datos!$D$2:$D$26103,$B33,Datos!$F$2:$F$26103,"STANDBY")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IFERROR(ROUND(AVERAGEIFS(Datos!$G$2:$G$26103,Datos!$E$2:$E$26103,$A34,Datos!$D$2:$D$26103,$B34,Datos!$F$2:$F$26103,"STANDBY"),1),"")</f>
        <v/>
      </c>
      <c r="D34" s="7">
        <f>IFERROR(_xlfn.MAXIFS(Datos!$G$2:$G$26103,Datos!$E$2:$E$26103,$A34,Datos!$D$2:$D$26103,$B34,Datos!$F$2:$F$26103,"STANDBY"),"")</f>
        <v/>
      </c>
      <c r="E34" s="7">
        <f>IFERROR(_xlfn.MINIFS(Datos!$G$2:$G$26103,Datos!$E$2:$E$26103,$A34,Datos!$D$2:$D$26103,$B34,Datos!$F$2:$F$26103,"STANDBY"),"")</f>
        <v/>
      </c>
      <c r="F34" s="7">
        <f>IFERROR(ROUND(AVERAGEIFS(Datos!$G$2:$G$26103,Datos!$E$2:$E$26103,$A34,Datos!$D$2:$D$26103,$B34,Datos!$F$2:$F$26103,"SINGLE_RIDER"),1),"")</f>
        <v/>
      </c>
      <c r="G34" s="7">
        <f>COUNTIFS(Datos!$E$2:$E$26103,$A34,Datos!$D$2:$D$26103,$B34,Datos!$F$2:$F$26103,"STANDBY")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IFERROR(ROUND(AVERAGEIFS(Datos!$G$2:$G$26103,Datos!$E$2:$E$26103,$A35,Datos!$D$2:$D$26103,$B35,Datos!$F$2:$F$26103,"STANDBY"),1),"")</f>
        <v/>
      </c>
      <c r="D35" s="5">
        <f>IFERROR(_xlfn.MAXIFS(Datos!$G$2:$G$26103,Datos!$E$2:$E$26103,$A35,Datos!$D$2:$D$26103,$B35,Datos!$F$2:$F$26103,"STANDBY"),"")</f>
        <v/>
      </c>
      <c r="E35" s="5">
        <f>IFERROR(_xlfn.MINIFS(Datos!$G$2:$G$26103,Datos!$E$2:$E$26103,$A35,Datos!$D$2:$D$26103,$B35,Datos!$F$2:$F$26103,"STANDBY"),"")</f>
        <v/>
      </c>
      <c r="F35" s="5">
        <f>IFERROR(ROUND(AVERAGEIFS(Datos!$G$2:$G$26103,Datos!$E$2:$E$26103,$A35,Datos!$D$2:$D$26103,$B35,Datos!$F$2:$F$26103,"SINGLE_RIDER"),1),"")</f>
        <v/>
      </c>
      <c r="G35" s="5">
        <f>COUNTIFS(Datos!$E$2:$E$26103,$A35,Datos!$D$2:$D$26103,$B35,Datos!$F$2:$F$26103,"STANDBY")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IFERROR(ROUND(AVERAGEIFS(Datos!$G$2:$G$26103,Datos!$E$2:$E$26103,$A36,Datos!$D$2:$D$26103,$B36,Datos!$F$2:$F$26103,"STANDBY"),1),"")</f>
        <v/>
      </c>
      <c r="D36" s="7">
        <f>IFERROR(_xlfn.MAXIFS(Datos!$G$2:$G$26103,Datos!$E$2:$E$26103,$A36,Datos!$D$2:$D$26103,$B36,Datos!$F$2:$F$26103,"STANDBY"),"")</f>
        <v/>
      </c>
      <c r="E36" s="7">
        <f>IFERROR(_xlfn.MINIFS(Datos!$G$2:$G$26103,Datos!$E$2:$E$26103,$A36,Datos!$D$2:$D$26103,$B36,Datos!$F$2:$F$26103,"STANDBY"),"")</f>
        <v/>
      </c>
      <c r="F36" s="7">
        <f>IFERROR(ROUND(AVERAGEIFS(Datos!$G$2:$G$26103,Datos!$E$2:$E$26103,$A36,Datos!$D$2:$D$26103,$B36,Datos!$F$2:$F$26103,"SINGLE_RIDER"),1),"")</f>
        <v/>
      </c>
      <c r="G36" s="7">
        <f>COUNTIFS(Datos!$E$2:$E$26103,$A36,Datos!$D$2:$D$26103,$B36,Datos!$F$2:$F$26103,"STANDBY")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IFERROR(ROUND(AVERAGEIFS(Datos!$G$2:$G$26103,Datos!$E$2:$E$26103,$A37,Datos!$D$2:$D$26103,$B37,Datos!$F$2:$F$26103,"STANDBY"),1),"")</f>
        <v/>
      </c>
      <c r="D37" s="5">
        <f>IFERROR(_xlfn.MAXIFS(Datos!$G$2:$G$26103,Datos!$E$2:$E$26103,$A37,Datos!$D$2:$D$26103,$B37,Datos!$F$2:$F$26103,"STANDBY"),"")</f>
        <v/>
      </c>
      <c r="E37" s="5">
        <f>IFERROR(_xlfn.MINIFS(Datos!$G$2:$G$26103,Datos!$E$2:$E$26103,$A37,Datos!$D$2:$D$26103,$B37,Datos!$F$2:$F$26103,"STANDBY"),"")</f>
        <v/>
      </c>
      <c r="F37" s="5">
        <f>IFERROR(ROUND(AVERAGEIFS(Datos!$G$2:$G$26103,Datos!$E$2:$E$26103,$A37,Datos!$D$2:$D$26103,$B37,Datos!$F$2:$F$26103,"SINGLE_RIDER"),1),"")</f>
        <v/>
      </c>
      <c r="G37" s="5">
        <f>COUNTIFS(Datos!$E$2:$E$26103,$A37,Datos!$D$2:$D$26103,$B37,Datos!$F$2:$F$26103,"STANDBY")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IFERROR(ROUND(AVERAGEIFS(Datos!$G$2:$G$26103,Datos!$E$2:$E$26103,$A38,Datos!$D$2:$D$26103,$B38,Datos!$F$2:$F$26103,"STANDBY"),1),"")</f>
        <v/>
      </c>
      <c r="D38" s="7">
        <f>IFERROR(_xlfn.MAXIFS(Datos!$G$2:$G$26103,Datos!$E$2:$E$26103,$A38,Datos!$D$2:$D$26103,$B38,Datos!$F$2:$F$26103,"STANDBY"),"")</f>
        <v/>
      </c>
      <c r="E38" s="7">
        <f>IFERROR(_xlfn.MINIFS(Datos!$G$2:$G$26103,Datos!$E$2:$E$26103,$A38,Datos!$D$2:$D$26103,$B38,Datos!$F$2:$F$26103,"STANDBY"),"")</f>
        <v/>
      </c>
      <c r="F38" s="7">
        <f>IFERROR(ROUND(AVERAGEIFS(Datos!$G$2:$G$26103,Datos!$E$2:$E$26103,$A38,Datos!$D$2:$D$26103,$B38,Datos!$F$2:$F$26103,"SINGLE_RIDER"),1),"")</f>
        <v/>
      </c>
      <c r="G38" s="7">
        <f>COUNTIFS(Datos!$E$2:$E$26103,$A38,Datos!$D$2:$D$26103,$B38,Datos!$F$2:$F$26103,"STANDBY")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IFERROR(ROUND(AVERAGEIFS(Datos!$G$2:$G$26103,Datos!$E$2:$E$26103,$A39,Datos!$D$2:$D$26103,$B39,Datos!$F$2:$F$26103,"STANDBY"),1),"")</f>
        <v/>
      </c>
      <c r="D39" s="5">
        <f>IFERROR(_xlfn.MAXIFS(Datos!$G$2:$G$26103,Datos!$E$2:$E$26103,$A39,Datos!$D$2:$D$26103,$B39,Datos!$F$2:$F$26103,"STANDBY"),"")</f>
        <v/>
      </c>
      <c r="E39" s="5">
        <f>IFERROR(_xlfn.MINIFS(Datos!$G$2:$G$26103,Datos!$E$2:$E$26103,$A39,Datos!$D$2:$D$26103,$B39,Datos!$F$2:$F$26103,"STANDBY"),"")</f>
        <v/>
      </c>
      <c r="F39" s="5">
        <f>IFERROR(ROUND(AVERAGEIFS(Datos!$G$2:$G$26103,Datos!$E$2:$E$26103,$A39,Datos!$D$2:$D$26103,$B39,Datos!$F$2:$F$26103,"SINGLE_RIDER"),1),"")</f>
        <v/>
      </c>
      <c r="G39" s="5">
        <f>COUNTIFS(Datos!$E$2:$E$26103,$A39,Datos!$D$2:$D$26103,$B39,Datos!$F$2:$F$26103,"STANDBY")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IFERROR(ROUND(AVERAGEIFS(Datos!$G$2:$G$26103,Datos!$E$2:$E$26103,$A40,Datos!$D$2:$D$26103,$B40,Datos!$F$2:$F$26103,"STANDBY"),1),"")</f>
        <v/>
      </c>
      <c r="D40" s="7">
        <f>IFERROR(_xlfn.MAXIFS(Datos!$G$2:$G$26103,Datos!$E$2:$E$26103,$A40,Datos!$D$2:$D$26103,$B40,Datos!$F$2:$F$26103,"STANDBY"),"")</f>
        <v/>
      </c>
      <c r="E40" s="7">
        <f>IFERROR(_xlfn.MINIFS(Datos!$G$2:$G$26103,Datos!$E$2:$E$26103,$A40,Datos!$D$2:$D$26103,$B40,Datos!$F$2:$F$26103,"STANDBY"),"")</f>
        <v/>
      </c>
      <c r="F40" s="7">
        <f>IFERROR(ROUND(AVERAGEIFS(Datos!$G$2:$G$26103,Datos!$E$2:$E$26103,$A40,Datos!$D$2:$D$26103,$B40,Datos!$F$2:$F$26103,"SINGLE_RIDER"),1),"")</f>
        <v/>
      </c>
      <c r="G40" s="7">
        <f>COUNTIFS(Datos!$E$2:$E$26103,$A40,Datos!$D$2:$D$26103,$B40,Datos!$F$2:$F$26103,"STANDBY")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IFERROR(ROUND(AVERAGEIFS(Datos!$G$2:$G$26103,Datos!$E$2:$E$26103,$A41,Datos!$D$2:$D$26103,$B41,Datos!$F$2:$F$26103,"STANDBY"),1),"")</f>
        <v/>
      </c>
      <c r="D41" s="5">
        <f>IFERROR(_xlfn.MAXIFS(Datos!$G$2:$G$26103,Datos!$E$2:$E$26103,$A41,Datos!$D$2:$D$26103,$B41,Datos!$F$2:$F$26103,"STANDBY"),"")</f>
        <v/>
      </c>
      <c r="E41" s="5">
        <f>IFERROR(_xlfn.MINIFS(Datos!$G$2:$G$26103,Datos!$E$2:$E$26103,$A41,Datos!$D$2:$D$26103,$B41,Datos!$F$2:$F$26103,"STANDBY"),"")</f>
        <v/>
      </c>
      <c r="F41" s="5">
        <f>IFERROR(ROUND(AVERAGEIFS(Datos!$G$2:$G$26103,Datos!$E$2:$E$26103,$A41,Datos!$D$2:$D$26103,$B41,Datos!$F$2:$F$26103,"SINGLE_RIDER"),1),"")</f>
        <v/>
      </c>
      <c r="G41" s="5">
        <f>COUNTIFS(Datos!$E$2:$E$26103,$A41,Datos!$D$2:$D$26103,$B41,Datos!$F$2:$F$26103,"STANDBY")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IFERROR(ROUND(AVERAGEIFS(Datos!$G$2:$G$26103,Datos!$E$2:$E$26103,$A42,Datos!$D$2:$D$26103,$B42,Datos!$F$2:$F$26103,"STANDBY"),1),"")</f>
        <v/>
      </c>
      <c r="D42" s="7">
        <f>IFERROR(_xlfn.MAXIFS(Datos!$G$2:$G$26103,Datos!$E$2:$E$26103,$A42,Datos!$D$2:$D$26103,$B42,Datos!$F$2:$F$26103,"STANDBY"),"")</f>
        <v/>
      </c>
      <c r="E42" s="7">
        <f>IFERROR(_xlfn.MINIFS(Datos!$G$2:$G$26103,Datos!$E$2:$E$26103,$A42,Datos!$D$2:$D$26103,$B42,Datos!$F$2:$F$26103,"STANDBY"),"")</f>
        <v/>
      </c>
      <c r="F42" s="7">
        <f>IFERROR(ROUND(AVERAGEIFS(Datos!$G$2:$G$26103,Datos!$E$2:$E$26103,$A42,Datos!$D$2:$D$26103,$B42,Datos!$F$2:$F$26103,"SINGLE_RIDER"),1),"")</f>
        <v/>
      </c>
      <c r="G42" s="7">
        <f>COUNTIFS(Datos!$E$2:$E$26103,$A42,Datos!$D$2:$D$26103,$B42,Datos!$F$2:$F$26103,"STANDBY")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IFERROR(ROUND(AVERAGEIFS(Datos!$G$2:$G$26103,Datos!$E$2:$E$26103,$A43,Datos!$D$2:$D$26103,$B43,Datos!$F$2:$F$26103,"STANDBY"),1),"")</f>
        <v/>
      </c>
      <c r="D43" s="5">
        <f>IFERROR(_xlfn.MAXIFS(Datos!$G$2:$G$26103,Datos!$E$2:$E$26103,$A43,Datos!$D$2:$D$26103,$B43,Datos!$F$2:$F$26103,"STANDBY"),"")</f>
        <v/>
      </c>
      <c r="E43" s="5">
        <f>IFERROR(_xlfn.MINIFS(Datos!$G$2:$G$26103,Datos!$E$2:$E$26103,$A43,Datos!$D$2:$D$26103,$B43,Datos!$F$2:$F$26103,"STANDBY"),"")</f>
        <v/>
      </c>
      <c r="F43" s="5">
        <f>IFERROR(ROUND(AVERAGEIFS(Datos!$G$2:$G$26103,Datos!$E$2:$E$26103,$A43,Datos!$D$2:$D$26103,$B43,Datos!$F$2:$F$26103,"SINGLE_RIDER"),1),"")</f>
        <v/>
      </c>
      <c r="G43" s="5">
        <f>COUNTIFS(Datos!$E$2:$E$26103,$A43,Datos!$D$2:$D$26103,$B43,Datos!$F$2:$F$26103,"STANDBY")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IFERROR(ROUND(AVERAGEIFS(Datos!$G$2:$G$26103,Datos!$E$2:$E$26103,$A44,Datos!$D$2:$D$26103,$B44,Datos!$F$2:$F$26103,"STANDBY"),1),"")</f>
        <v/>
      </c>
      <c r="D44" s="7">
        <f>IFERROR(_xlfn.MAXIFS(Datos!$G$2:$G$26103,Datos!$E$2:$E$26103,$A44,Datos!$D$2:$D$26103,$B44,Datos!$F$2:$F$26103,"STANDBY"),"")</f>
        <v/>
      </c>
      <c r="E44" s="7">
        <f>IFERROR(_xlfn.MINIFS(Datos!$G$2:$G$26103,Datos!$E$2:$E$26103,$A44,Datos!$D$2:$D$26103,$B44,Datos!$F$2:$F$26103,"STANDBY"),"")</f>
        <v/>
      </c>
      <c r="F44" s="7">
        <f>IFERROR(ROUND(AVERAGEIFS(Datos!$G$2:$G$26103,Datos!$E$2:$E$26103,$A44,Datos!$D$2:$D$26103,$B44,Datos!$F$2:$F$26103,"SINGLE_RIDER"),1),"")</f>
        <v/>
      </c>
      <c r="G44" s="7">
        <f>COUNTIFS(Datos!$E$2:$E$26103,$A44,Datos!$D$2:$D$26103,$B44,Datos!$F$2:$F$26103,"STANDBY")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IFERROR(ROUND(AVERAGEIFS(Datos!$G$2:$G$26103,Datos!$E$2:$E$26103,$A45,Datos!$D$2:$D$26103,$B45,Datos!$F$2:$F$26103,"STANDBY"),1),"")</f>
        <v/>
      </c>
      <c r="D45" s="5">
        <f>IFERROR(_xlfn.MAXIFS(Datos!$G$2:$G$26103,Datos!$E$2:$E$26103,$A45,Datos!$D$2:$D$26103,$B45,Datos!$F$2:$F$26103,"STANDBY"),"")</f>
        <v/>
      </c>
      <c r="E45" s="5">
        <f>IFERROR(_xlfn.MINIFS(Datos!$G$2:$G$26103,Datos!$E$2:$E$26103,$A45,Datos!$D$2:$D$26103,$B45,Datos!$F$2:$F$26103,"STANDBY"),"")</f>
        <v/>
      </c>
      <c r="F45" s="5">
        <f>IFERROR(ROUND(AVERAGEIFS(Datos!$G$2:$G$26103,Datos!$E$2:$E$26103,$A45,Datos!$D$2:$D$26103,$B45,Datos!$F$2:$F$26103,"SINGLE_RIDER"),1),"")</f>
        <v/>
      </c>
      <c r="G45" s="5">
        <f>COUNTIFS(Datos!$E$2:$E$26103,$A45,Datos!$D$2:$D$26103,$B45,Datos!$F$2:$F$26103,"STANDBY")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IFERROR(ROUND(AVERAGEIFS(Datos!$G$2:$G$26103,Datos!$E$2:$E$26103,$A46,Datos!$D$2:$D$26103,$B46,Datos!$F$2:$F$26103,"STANDBY"),1),"")</f>
        <v/>
      </c>
      <c r="D46" s="7">
        <f>IFERROR(_xlfn.MAXIFS(Datos!$G$2:$G$26103,Datos!$E$2:$E$26103,$A46,Datos!$D$2:$D$26103,$B46,Datos!$F$2:$F$26103,"STANDBY"),"")</f>
        <v/>
      </c>
      <c r="E46" s="7">
        <f>IFERROR(_xlfn.MINIFS(Datos!$G$2:$G$26103,Datos!$E$2:$E$26103,$A46,Datos!$D$2:$D$26103,$B46,Datos!$F$2:$F$26103,"STANDBY"),"")</f>
        <v/>
      </c>
      <c r="F46" s="7">
        <f>IFERROR(ROUND(AVERAGEIFS(Datos!$G$2:$G$26103,Datos!$E$2:$E$26103,$A46,Datos!$D$2:$D$26103,$B46,Datos!$F$2:$F$26103,"SINGLE_RIDER"),1),"")</f>
        <v/>
      </c>
      <c r="G46" s="7">
        <f>COUNTIFS(Datos!$E$2:$E$26103,$A46,Datos!$D$2:$D$26103,$B46,Datos!$F$2:$F$26103,"STANDBY")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IFERROR(ROUND(AVERAGEIFS(Datos!$G$2:$G$26103,Datos!$E$2:$E$26103,$A47,Datos!$D$2:$D$26103,$B47,Datos!$F$2:$F$26103,"STANDBY"),1),"")</f>
        <v/>
      </c>
      <c r="D47" s="5">
        <f>IFERROR(_xlfn.MAXIFS(Datos!$G$2:$G$26103,Datos!$E$2:$E$26103,$A47,Datos!$D$2:$D$26103,$B47,Datos!$F$2:$F$26103,"STANDBY"),"")</f>
        <v/>
      </c>
      <c r="E47" s="5">
        <f>IFERROR(_xlfn.MINIFS(Datos!$G$2:$G$26103,Datos!$E$2:$E$26103,$A47,Datos!$D$2:$D$26103,$B47,Datos!$F$2:$F$26103,"STANDBY"),"")</f>
        <v/>
      </c>
      <c r="F47" s="5">
        <f>IFERROR(ROUND(AVERAGEIFS(Datos!$G$2:$G$26103,Datos!$E$2:$E$26103,$A47,Datos!$D$2:$D$26103,$B47,Datos!$F$2:$F$26103,"SINGLE_RIDER"),1),"")</f>
        <v/>
      </c>
      <c r="G47" s="5">
        <f>COUNTIFS(Datos!$E$2:$E$26103,$A47,Datos!$D$2:$D$26103,$B47,Datos!$F$2:$F$26103,"STANDBY")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IFERROR(ROUND(AVERAGEIFS(Datos!$G$2:$G$26103,Datos!$E$2:$E$26103,$A48,Datos!$D$2:$D$26103,$B48,Datos!$F$2:$F$26103,"STANDBY"),1),"")</f>
        <v/>
      </c>
      <c r="D48" s="7">
        <f>IFERROR(_xlfn.MAXIFS(Datos!$G$2:$G$26103,Datos!$E$2:$E$26103,$A48,Datos!$D$2:$D$26103,$B48,Datos!$F$2:$F$26103,"STANDBY"),"")</f>
        <v/>
      </c>
      <c r="E48" s="7">
        <f>IFERROR(_xlfn.MINIFS(Datos!$G$2:$G$26103,Datos!$E$2:$E$26103,$A48,Datos!$D$2:$D$26103,$B48,Datos!$F$2:$F$26103,"STANDBY"),"")</f>
        <v/>
      </c>
      <c r="F48" s="7">
        <f>IFERROR(ROUND(AVERAGEIFS(Datos!$G$2:$G$26103,Datos!$E$2:$E$26103,$A48,Datos!$D$2:$D$26103,$B48,Datos!$F$2:$F$26103,"SINGLE_RIDER"),1),"")</f>
        <v/>
      </c>
      <c r="G48" s="7">
        <f>COUNTIFS(Datos!$E$2:$E$26103,$A48,Datos!$D$2:$D$26103,$B48,Datos!$F$2:$F$26103,"STANDBY")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IFERROR(ROUND(AVERAGEIFS(Datos!$G$2:$G$26103,Datos!$E$2:$E$26103,$A49,Datos!$D$2:$D$26103,$B49,Datos!$F$2:$F$26103,"STANDBY"),1),"")</f>
        <v/>
      </c>
      <c r="D49" s="5">
        <f>IFERROR(_xlfn.MAXIFS(Datos!$G$2:$G$26103,Datos!$E$2:$E$26103,$A49,Datos!$D$2:$D$26103,$B49,Datos!$F$2:$F$26103,"STANDBY"),"")</f>
        <v/>
      </c>
      <c r="E49" s="5">
        <f>IFERROR(_xlfn.MINIFS(Datos!$G$2:$G$26103,Datos!$E$2:$E$26103,$A49,Datos!$D$2:$D$26103,$B49,Datos!$F$2:$F$26103,"STANDBY"),"")</f>
        <v/>
      </c>
      <c r="F49" s="5">
        <f>IFERROR(ROUND(AVERAGEIFS(Datos!$G$2:$G$26103,Datos!$E$2:$E$26103,$A49,Datos!$D$2:$D$26103,$B49,Datos!$F$2:$F$26103,"SINGLE_RIDER"),1),"")</f>
        <v/>
      </c>
      <c r="G49" s="5">
        <f>COUNTIFS(Datos!$E$2:$E$26103,$A49,Datos!$D$2:$D$26103,$B49,Datos!$F$2:$F$26103,"STANDBY")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IFERROR(ROUND(AVERAGEIFS(Datos!$G$2:$G$26103,Datos!$E$2:$E$26103,$A50,Datos!$D$2:$D$26103,$B50,Datos!$F$2:$F$26103,"STANDBY"),1),"")</f>
        <v/>
      </c>
      <c r="D50" s="7">
        <f>IFERROR(_xlfn.MAXIFS(Datos!$G$2:$G$26103,Datos!$E$2:$E$26103,$A50,Datos!$D$2:$D$26103,$B50,Datos!$F$2:$F$26103,"STANDBY"),"")</f>
        <v/>
      </c>
      <c r="E50" s="7">
        <f>IFERROR(_xlfn.MINIFS(Datos!$G$2:$G$26103,Datos!$E$2:$E$26103,$A50,Datos!$D$2:$D$26103,$B50,Datos!$F$2:$F$26103,"STANDBY"),"")</f>
        <v/>
      </c>
      <c r="F50" s="7">
        <f>IFERROR(ROUND(AVERAGEIFS(Datos!$G$2:$G$26103,Datos!$E$2:$E$26103,$A50,Datos!$D$2:$D$26103,$B50,Datos!$F$2:$F$26103,"SINGLE_RIDER"),1),"")</f>
        <v/>
      </c>
      <c r="G50" s="7">
        <f>COUNTIFS(Datos!$E$2:$E$26103,$A50,Datos!$D$2:$D$26103,$B50,Datos!$F$2:$F$26103,"STANDBY")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IFERROR(ROUND(AVERAGEIFS(Datos!$G$2:$G$26103,Datos!$E$2:$E$26103,$A51,Datos!$D$2:$D$26103,$B51,Datos!$F$2:$F$26103,"STANDBY"),1),"")</f>
        <v/>
      </c>
      <c r="D51" s="5">
        <f>IFERROR(_xlfn.MAXIFS(Datos!$G$2:$G$26103,Datos!$E$2:$E$26103,$A51,Datos!$D$2:$D$26103,$B51,Datos!$F$2:$F$26103,"STANDBY"),"")</f>
        <v/>
      </c>
      <c r="E51" s="5">
        <f>IFERROR(_xlfn.MINIFS(Datos!$G$2:$G$26103,Datos!$E$2:$E$26103,$A51,Datos!$D$2:$D$26103,$B51,Datos!$F$2:$F$26103,"STANDBY"),"")</f>
        <v/>
      </c>
      <c r="F51" s="5">
        <f>IFERROR(ROUND(AVERAGEIFS(Datos!$G$2:$G$26103,Datos!$E$2:$E$26103,$A51,Datos!$D$2:$D$26103,$B51,Datos!$F$2:$F$26103,"SINGLE_RIDER"),1),"")</f>
        <v/>
      </c>
      <c r="G51" s="5">
        <f>COUNTIFS(Datos!$E$2:$E$26103,$A51,Datos!$D$2:$D$26103,$B51,Datos!$F$2:$F$26103,"STANDBY")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IFERROR(ROUND(AVERAGEIFS(Datos!$G$2:$G$26103,Datos!$E$2:$E$26103,$A52,Datos!$D$2:$D$26103,$B52,Datos!$F$2:$F$26103,"STANDBY"),1),"")</f>
        <v/>
      </c>
      <c r="D52" s="7">
        <f>IFERROR(_xlfn.MAXIFS(Datos!$G$2:$G$26103,Datos!$E$2:$E$26103,$A52,Datos!$D$2:$D$26103,$B52,Datos!$F$2:$F$26103,"STANDBY"),"")</f>
        <v/>
      </c>
      <c r="E52" s="7">
        <f>IFERROR(_xlfn.MINIFS(Datos!$G$2:$G$26103,Datos!$E$2:$E$26103,$A52,Datos!$D$2:$D$26103,$B52,Datos!$F$2:$F$26103,"STANDBY"),"")</f>
        <v/>
      </c>
      <c r="F52" s="7">
        <f>IFERROR(ROUND(AVERAGEIFS(Datos!$G$2:$G$26103,Datos!$E$2:$E$26103,$A52,Datos!$D$2:$D$26103,$B52,Datos!$F$2:$F$26103,"SINGLE_RIDER"),1),"")</f>
        <v/>
      </c>
      <c r="G52" s="7">
        <f>COUNTIFS(Datos!$E$2:$E$26103,$A52,Datos!$D$2:$D$26103,$B52,Datos!$F$2:$F$26103,"STANDBY")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IFERROR(ROUND(AVERAGEIFS(Datos!$G$2:$G$26103,Datos!$E$2:$E$26103,$A53,Datos!$D$2:$D$26103,$B53,Datos!$F$2:$F$26103,"STANDBY"),1),"")</f>
        <v/>
      </c>
      <c r="D53" s="5">
        <f>IFERROR(_xlfn.MAXIFS(Datos!$G$2:$G$26103,Datos!$E$2:$E$26103,$A53,Datos!$D$2:$D$26103,$B53,Datos!$F$2:$F$26103,"STANDBY"),"")</f>
        <v/>
      </c>
      <c r="E53" s="5">
        <f>IFERROR(_xlfn.MINIFS(Datos!$G$2:$G$26103,Datos!$E$2:$E$26103,$A53,Datos!$D$2:$D$26103,$B53,Datos!$F$2:$F$26103,"STANDBY"),"")</f>
        <v/>
      </c>
      <c r="F53" s="5">
        <f>IFERROR(ROUND(AVERAGEIFS(Datos!$G$2:$G$26103,Datos!$E$2:$E$26103,$A53,Datos!$D$2:$D$26103,$B53,Datos!$F$2:$F$26103,"SINGLE_RIDER"),1),"")</f>
        <v/>
      </c>
      <c r="G53" s="5">
        <f>COUNTIFS(Datos!$E$2:$E$26103,$A53,Datos!$D$2:$D$26103,$B53,Datos!$F$2:$F$26103,"STANDBY")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IFERROR(ROUND(AVERAGEIFS(Datos!$G$2:$G$26103,Datos!$E$2:$E$26103,$A54,Datos!$D$2:$D$26103,$B54,Datos!$F$2:$F$26103,"STANDBY"),1),"")</f>
        <v/>
      </c>
      <c r="D54" s="7">
        <f>IFERROR(_xlfn.MAXIFS(Datos!$G$2:$G$26103,Datos!$E$2:$E$26103,$A54,Datos!$D$2:$D$26103,$B54,Datos!$F$2:$F$26103,"STANDBY"),"")</f>
        <v/>
      </c>
      <c r="E54" s="7">
        <f>IFERROR(_xlfn.MINIFS(Datos!$G$2:$G$26103,Datos!$E$2:$E$26103,$A54,Datos!$D$2:$D$26103,$B54,Datos!$F$2:$F$26103,"STANDBY"),"")</f>
        <v/>
      </c>
      <c r="F54" s="7">
        <f>IFERROR(ROUND(AVERAGEIFS(Datos!$G$2:$G$26103,Datos!$E$2:$E$26103,$A54,Datos!$D$2:$D$26103,$B54,Datos!$F$2:$F$26103,"SINGLE_RIDER"),1),"")</f>
        <v/>
      </c>
      <c r="G54" s="7">
        <f>COUNTIFS(Datos!$E$2:$E$26103,$A54,Datos!$D$2:$D$26103,$B54,Datos!$F$2:$F$26103,"STANDBY")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IFERROR(ROUND(AVERAGEIFS(Datos!$G$2:$G$26103,Datos!$E$2:$E$26103,$A55,Datos!$D$2:$D$26103,$B55,Datos!$F$2:$F$26103,"STANDBY"),1),"")</f>
        <v/>
      </c>
      <c r="D55" s="5">
        <f>IFERROR(_xlfn.MAXIFS(Datos!$G$2:$G$26103,Datos!$E$2:$E$26103,$A55,Datos!$D$2:$D$26103,$B55,Datos!$F$2:$F$26103,"STANDBY"),"")</f>
        <v/>
      </c>
      <c r="E55" s="5">
        <f>IFERROR(_xlfn.MINIFS(Datos!$G$2:$G$26103,Datos!$E$2:$E$26103,$A55,Datos!$D$2:$D$26103,$B55,Datos!$F$2:$F$26103,"STANDBY"),"")</f>
        <v/>
      </c>
      <c r="F55" s="5">
        <f>IFERROR(ROUND(AVERAGEIFS(Datos!$G$2:$G$26103,Datos!$E$2:$E$26103,$A55,Datos!$D$2:$D$26103,$B55,Datos!$F$2:$F$26103,"SINGLE_RIDER"),1),"")</f>
        <v/>
      </c>
      <c r="G55" s="5">
        <f>COUNTIFS(Datos!$E$2:$E$26103,$A55,Datos!$D$2:$D$26103,$B55,Datos!$F$2:$F$26103,"STANDBY")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IFERROR(ROUND(AVERAGEIFS(Datos!$G$2:$G$26103,Datos!$E$2:$E$26103,$A56,Datos!$D$2:$D$26103,$B56,Datos!$F$2:$F$26103,"STANDBY"),1),"")</f>
        <v/>
      </c>
      <c r="D56" s="7">
        <f>IFERROR(_xlfn.MAXIFS(Datos!$G$2:$G$26103,Datos!$E$2:$E$26103,$A56,Datos!$D$2:$D$26103,$B56,Datos!$F$2:$F$26103,"STANDBY"),"")</f>
        <v/>
      </c>
      <c r="E56" s="7">
        <f>IFERROR(_xlfn.MINIFS(Datos!$G$2:$G$26103,Datos!$E$2:$E$26103,$A56,Datos!$D$2:$D$26103,$B56,Datos!$F$2:$F$26103,"STANDBY"),"")</f>
        <v/>
      </c>
      <c r="F56" s="7">
        <f>IFERROR(ROUND(AVERAGEIFS(Datos!$G$2:$G$26103,Datos!$E$2:$E$26103,$A56,Datos!$D$2:$D$26103,$B56,Datos!$F$2:$F$26103,"SINGLE_RIDER"),1),"")</f>
        <v/>
      </c>
      <c r="G56" s="7">
        <f>COUNTIFS(Datos!$E$2:$E$26103,$A56,Datos!$D$2:$D$26103,$B56,Datos!$F$2:$F$26103,"STANDBY")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IFERROR(ROUND(AVERAGEIFS(Datos!$G$2:$G$26103,Datos!$E$2:$E$26103,$A57,Datos!$D$2:$D$26103,$B57,Datos!$F$2:$F$26103,"STANDBY"),1),"")</f>
        <v/>
      </c>
      <c r="D57" s="5">
        <f>IFERROR(_xlfn.MAXIFS(Datos!$G$2:$G$26103,Datos!$E$2:$E$26103,$A57,Datos!$D$2:$D$26103,$B57,Datos!$F$2:$F$26103,"STANDBY"),"")</f>
        <v/>
      </c>
      <c r="E57" s="5">
        <f>IFERROR(_xlfn.MINIFS(Datos!$G$2:$G$26103,Datos!$E$2:$E$26103,$A57,Datos!$D$2:$D$26103,$B57,Datos!$F$2:$F$26103,"STANDBY"),"")</f>
        <v/>
      </c>
      <c r="F57" s="5">
        <f>IFERROR(ROUND(AVERAGEIFS(Datos!$G$2:$G$26103,Datos!$E$2:$E$26103,$A57,Datos!$D$2:$D$26103,$B57,Datos!$F$2:$F$26103,"SINGLE_RIDER"),1),"")</f>
        <v/>
      </c>
      <c r="G57" s="5">
        <f>COUNTIFS(Datos!$E$2:$E$26103,$A57,Datos!$D$2:$D$26103,$B57,Datos!$F$2:$F$26103,"STANDBY")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IFERROR(ROUND(AVERAGEIFS(Datos!$G$2:$G$26103,Datos!$E$2:$E$26103,$A58,Datos!$D$2:$D$26103,$B58,Datos!$F$2:$F$26103,"STANDBY"),1),"")</f>
        <v/>
      </c>
      <c r="D58" s="7">
        <f>IFERROR(_xlfn.MAXIFS(Datos!$G$2:$G$26103,Datos!$E$2:$E$26103,$A58,Datos!$D$2:$D$26103,$B58,Datos!$F$2:$F$26103,"STANDBY"),"")</f>
        <v/>
      </c>
      <c r="E58" s="7">
        <f>IFERROR(_xlfn.MINIFS(Datos!$G$2:$G$26103,Datos!$E$2:$E$26103,$A58,Datos!$D$2:$D$26103,$B58,Datos!$F$2:$F$26103,"STANDBY"),"")</f>
        <v/>
      </c>
      <c r="F58" s="7">
        <f>IFERROR(ROUND(AVERAGEIFS(Datos!$G$2:$G$26103,Datos!$E$2:$E$26103,$A58,Datos!$D$2:$D$26103,$B58,Datos!$F$2:$F$26103,"SINGLE_RIDER"),1),"")</f>
        <v/>
      </c>
      <c r="G58" s="7">
        <f>COUNTIFS(Datos!$E$2:$E$26103,$A58,Datos!$D$2:$D$26103,$B58,Datos!$F$2:$F$26103,"STANDBY")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IFERROR(ROUND(AVERAGEIFS(Datos!$G$2:$G$26103,Datos!$E$2:$E$26103,$A59,Datos!$D$2:$D$26103,$B59,Datos!$F$2:$F$26103,"STANDBY"),1),"")</f>
        <v/>
      </c>
      <c r="D59" s="5">
        <f>IFERROR(_xlfn.MAXIFS(Datos!$G$2:$G$26103,Datos!$E$2:$E$26103,$A59,Datos!$D$2:$D$26103,$B59,Datos!$F$2:$F$26103,"STANDBY"),"")</f>
        <v/>
      </c>
      <c r="E59" s="5">
        <f>IFERROR(_xlfn.MINIFS(Datos!$G$2:$G$26103,Datos!$E$2:$E$26103,$A59,Datos!$D$2:$D$26103,$B59,Datos!$F$2:$F$26103,"STANDBY"),"")</f>
        <v/>
      </c>
      <c r="F59" s="5">
        <f>IFERROR(ROUND(AVERAGEIFS(Datos!$G$2:$G$26103,Datos!$E$2:$E$26103,$A59,Datos!$D$2:$D$26103,$B59,Datos!$F$2:$F$26103,"SINGLE_RIDER"),1),"")</f>
        <v/>
      </c>
      <c r="G59" s="5">
        <f>COUNTIFS(Datos!$E$2:$E$26103,$A59,Datos!$D$2:$D$26103,$B59,Datos!$F$2:$F$26103,"STANDBY")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IFERROR(ROUND(AVERAGEIFS(Datos!$G$2:$G$26103,Datos!$E$2:$E$26103,$A60,Datos!$D$2:$D$26103,$B60,Datos!$F$2:$F$26103,"STANDBY"),1),"")</f>
        <v/>
      </c>
      <c r="D60" s="7">
        <f>IFERROR(_xlfn.MAXIFS(Datos!$G$2:$G$26103,Datos!$E$2:$E$26103,$A60,Datos!$D$2:$D$26103,$B60,Datos!$F$2:$F$26103,"STANDBY"),"")</f>
        <v/>
      </c>
      <c r="E60" s="7">
        <f>IFERROR(_xlfn.MINIFS(Datos!$G$2:$G$26103,Datos!$E$2:$E$26103,$A60,Datos!$D$2:$D$26103,$B60,Datos!$F$2:$F$26103,"STANDBY"),"")</f>
        <v/>
      </c>
      <c r="F60" s="7">
        <f>IFERROR(ROUND(AVERAGEIFS(Datos!$G$2:$G$26103,Datos!$E$2:$E$26103,$A60,Datos!$D$2:$D$26103,$B60,Datos!$F$2:$F$26103,"SINGLE_RIDER"),1),"")</f>
        <v/>
      </c>
      <c r="G60" s="7">
        <f>COUNTIFS(Datos!$E$2:$E$26103,$A60,Datos!$D$2:$D$26103,$B60,Datos!$F$2:$F$26103,"STANDBY")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IFERROR(ROUND(AVERAGEIFS(Datos!$G$2:$G$26103,Datos!$E$2:$E$26103,$A61,Datos!$D$2:$D$26103,$B61,Datos!$F$2:$F$26103,"STANDBY"),1),"")</f>
        <v/>
      </c>
      <c r="D61" s="5">
        <f>IFERROR(_xlfn.MAXIFS(Datos!$G$2:$G$26103,Datos!$E$2:$E$26103,$A61,Datos!$D$2:$D$26103,$B61,Datos!$F$2:$F$26103,"STANDBY"),"")</f>
        <v/>
      </c>
      <c r="E61" s="5">
        <f>IFERROR(_xlfn.MINIFS(Datos!$G$2:$G$26103,Datos!$E$2:$E$26103,$A61,Datos!$D$2:$D$26103,$B61,Datos!$F$2:$F$26103,"STANDBY"),"")</f>
        <v/>
      </c>
      <c r="F61" s="5">
        <f>IFERROR(ROUND(AVERAGEIFS(Datos!$G$2:$G$26103,Datos!$E$2:$E$26103,$A61,Datos!$D$2:$D$26103,$B61,Datos!$F$2:$F$26103,"SINGLE_RIDER"),1),"")</f>
        <v/>
      </c>
      <c r="G61" s="5">
        <f>COUNTIFS(Datos!$E$2:$E$26103,$A61,Datos!$D$2:$D$26103,$B61,Datos!$F$2:$F$26103,"STANDBY")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IFERROR(ROUND(AVERAGEIFS(Datos!$G$2:$G$26103,Datos!$E$2:$E$26103,$A62,Datos!$D$2:$D$26103,$B62,Datos!$F$2:$F$26103,"STANDBY"),1),"")</f>
        <v/>
      </c>
      <c r="D62" s="7">
        <f>IFERROR(_xlfn.MAXIFS(Datos!$G$2:$G$26103,Datos!$E$2:$E$26103,$A62,Datos!$D$2:$D$26103,$B62,Datos!$F$2:$F$26103,"STANDBY"),"")</f>
        <v/>
      </c>
      <c r="E62" s="7">
        <f>IFERROR(_xlfn.MINIFS(Datos!$G$2:$G$26103,Datos!$E$2:$E$26103,$A62,Datos!$D$2:$D$26103,$B62,Datos!$F$2:$F$26103,"STANDBY"),"")</f>
        <v/>
      </c>
      <c r="F62" s="7">
        <f>IFERROR(ROUND(AVERAGEIFS(Datos!$G$2:$G$26103,Datos!$E$2:$E$26103,$A62,Datos!$D$2:$D$26103,$B62,Datos!$F$2:$F$26103,"SINGLE_RIDER"),1),"")</f>
        <v/>
      </c>
      <c r="G62" s="7">
        <f>COUNTIFS(Datos!$E$2:$E$26103,$A62,Datos!$D$2:$D$26103,$B62,Datos!$F$2:$F$26103,"STANDBY")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IFERROR(ROUND(AVERAGEIFS(Datos!$G$2:$G$26103,Datos!$E$2:$E$26103,$A63,Datos!$D$2:$D$26103,$B63,Datos!$F$2:$F$26103,"STANDBY"),1),"")</f>
        <v/>
      </c>
      <c r="D63" s="5">
        <f>IFERROR(_xlfn.MAXIFS(Datos!$G$2:$G$26103,Datos!$E$2:$E$26103,$A63,Datos!$D$2:$D$26103,$B63,Datos!$F$2:$F$26103,"STANDBY"),"")</f>
        <v/>
      </c>
      <c r="E63" s="5">
        <f>IFERROR(_xlfn.MINIFS(Datos!$G$2:$G$26103,Datos!$E$2:$E$26103,$A63,Datos!$D$2:$D$26103,$B63,Datos!$F$2:$F$26103,"STANDBY"),"")</f>
        <v/>
      </c>
      <c r="F63" s="5">
        <f>IFERROR(ROUND(AVERAGEIFS(Datos!$G$2:$G$26103,Datos!$E$2:$E$26103,$A63,Datos!$D$2:$D$26103,$B63,Datos!$F$2:$F$26103,"SINGLE_RIDER"),1),"")</f>
        <v/>
      </c>
      <c r="G63" s="5">
        <f>COUNTIFS(Datos!$E$2:$E$26103,$A63,Datos!$D$2:$D$26103,$B63,Datos!$F$2:$F$26103,"STANDBY")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IFERROR(ROUND(AVERAGEIFS(Datos!$G$2:$G$26103,Datos!$E$2:$E$26103,$A64,Datos!$D$2:$D$26103,$B64,Datos!$F$2:$F$26103,"STANDBY"),1),"")</f>
        <v/>
      </c>
      <c r="D64" s="7">
        <f>IFERROR(_xlfn.MAXIFS(Datos!$G$2:$G$26103,Datos!$E$2:$E$26103,$A64,Datos!$D$2:$D$26103,$B64,Datos!$F$2:$F$26103,"STANDBY"),"")</f>
        <v/>
      </c>
      <c r="E64" s="7">
        <f>IFERROR(_xlfn.MINIFS(Datos!$G$2:$G$26103,Datos!$E$2:$E$26103,$A64,Datos!$D$2:$D$26103,$B64,Datos!$F$2:$F$26103,"STANDBY"),"")</f>
        <v/>
      </c>
      <c r="F64" s="7">
        <f>IFERROR(ROUND(AVERAGEIFS(Datos!$G$2:$G$26103,Datos!$E$2:$E$26103,$A64,Datos!$D$2:$D$26103,$B64,Datos!$F$2:$F$26103,"SINGLE_RIDER"),1),"")</f>
        <v/>
      </c>
      <c r="G64" s="7">
        <f>COUNTIFS(Datos!$E$2:$E$26103,$A64,Datos!$D$2:$D$26103,$B64,Datos!$F$2:$F$26103,"STANDBY")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IFERROR(ROUND(AVERAGEIFS(Datos!$G$2:$G$26103,Datos!$E$2:$E$26103,$A65,Datos!$D$2:$D$26103,$B65,Datos!$F$2:$F$26103,"STANDBY"),1),"")</f>
        <v/>
      </c>
      <c r="D65" s="5">
        <f>IFERROR(_xlfn.MAXIFS(Datos!$G$2:$G$26103,Datos!$E$2:$E$26103,$A65,Datos!$D$2:$D$26103,$B65,Datos!$F$2:$F$26103,"STANDBY"),"")</f>
        <v/>
      </c>
      <c r="E65" s="5">
        <f>IFERROR(_xlfn.MINIFS(Datos!$G$2:$G$26103,Datos!$E$2:$E$26103,$A65,Datos!$D$2:$D$26103,$B65,Datos!$F$2:$F$26103,"STANDBY"),"")</f>
        <v/>
      </c>
      <c r="F65" s="5">
        <f>IFERROR(ROUND(AVERAGEIFS(Datos!$G$2:$G$26103,Datos!$E$2:$E$26103,$A65,Datos!$D$2:$D$26103,$B65,Datos!$F$2:$F$26103,"SINGLE_RIDER"),1),"")</f>
        <v/>
      </c>
      <c r="G65" s="5">
        <f>COUNTIFS(Datos!$E$2:$E$26103,$A65,Datos!$D$2:$D$26103,$B65,Datos!$F$2:$F$26103,"STANDBY")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61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  <row r="24988">
      <c r="A24988" s="8" t="inlineStr">
        <is>
          <t>2026-08-05</t>
        </is>
      </c>
      <c r="B24988" s="8" t="n">
        <v>14</v>
      </c>
      <c r="C24988" s="8" t="n">
        <v>15</v>
      </c>
      <c r="D24988" s="8" t="inlineStr">
        <is>
          <t>Disneyland Park</t>
        </is>
      </c>
      <c r="E24988" s="8" t="inlineStr">
        <is>
          <t>Adventure Isle</t>
        </is>
      </c>
      <c r="F24988" s="8" t="inlineStr">
        <is>
          <t>STANDBY</t>
        </is>
      </c>
      <c r="G24988" s="8" t="n">
        <v>0</v>
      </c>
      <c r="H24988" s="8" t="inlineStr">
        <is>
          <t>OPERATING</t>
        </is>
      </c>
    </row>
    <row r="24989">
      <c r="A24989" s="8" t="inlineStr">
        <is>
          <t>2026-08-05</t>
        </is>
      </c>
      <c r="B24989" s="8" t="n">
        <v>14</v>
      </c>
      <c r="C24989" s="8" t="n">
        <v>15</v>
      </c>
      <c r="D24989" s="8" t="inlineStr">
        <is>
          <t>Disneyland Park</t>
        </is>
      </c>
      <c r="E24989" s="8" t="inlineStr">
        <is>
          <t>Indiana Jones and the Temple of Peril Single Rider</t>
        </is>
      </c>
      <c r="F24989" s="8" t="inlineStr">
        <is>
          <t>STANDBY</t>
        </is>
      </c>
      <c r="G24989" s="8" t="n">
        <v>15</v>
      </c>
      <c r="H24989" s="8" t="inlineStr">
        <is>
          <t>OPERATING</t>
        </is>
      </c>
    </row>
    <row r="24990">
      <c r="A24990" s="8" t="inlineStr">
        <is>
          <t>2026-08-05</t>
        </is>
      </c>
      <c r="B24990" s="8" t="n">
        <v>14</v>
      </c>
      <c r="C24990" s="8" t="n">
        <v>15</v>
      </c>
      <c r="D24990" s="8" t="inlineStr">
        <is>
          <t>Disneyland Park</t>
        </is>
      </c>
      <c r="E24990" s="8" t="inlineStr">
        <is>
          <t>Indiana Jones™ and the Temple of Peril</t>
        </is>
      </c>
      <c r="F24990" s="8" t="inlineStr">
        <is>
          <t>STANDBY</t>
        </is>
      </c>
      <c r="G24990" s="8" t="n">
        <v>30</v>
      </c>
      <c r="H24990" s="8" t="inlineStr">
        <is>
          <t>OPERATING</t>
        </is>
      </c>
    </row>
    <row r="24991">
      <c r="A24991" s="8" t="inlineStr">
        <is>
          <t>2026-08-05</t>
        </is>
      </c>
      <c r="B24991" s="8" t="n">
        <v>14</v>
      </c>
      <c r="C24991" s="8" t="n">
        <v>15</v>
      </c>
      <c r="D24991" s="8" t="inlineStr">
        <is>
          <t>Disneyland Park</t>
        </is>
      </c>
      <c r="E24991" s="8" t="inlineStr">
        <is>
          <t>La Cabane des Robinson</t>
        </is>
      </c>
      <c r="F24991" s="8" t="inlineStr">
        <is>
          <t>STANDBY</t>
        </is>
      </c>
      <c r="G24991" s="8" t="n">
        <v>10</v>
      </c>
      <c r="H24991" s="8" t="inlineStr">
        <is>
          <t>OPERATING</t>
        </is>
      </c>
    </row>
    <row r="24992">
      <c r="A24992" s="8" t="inlineStr">
        <is>
          <t>2026-08-05</t>
        </is>
      </c>
      <c r="B24992" s="8" t="n">
        <v>14</v>
      </c>
      <c r="C24992" s="8" t="n">
        <v>15</v>
      </c>
      <c r="D24992" s="8" t="inlineStr">
        <is>
          <t>Disneyland Park</t>
        </is>
      </c>
      <c r="E24992" s="8" t="inlineStr">
        <is>
          <t>Le Passage Enchanté d'Aladdin</t>
        </is>
      </c>
      <c r="F24992" s="8" t="inlineStr">
        <is>
          <t>STANDBY</t>
        </is>
      </c>
      <c r="G24992" s="8" t="n">
        <v>0</v>
      </c>
      <c r="H24992" s="8" t="inlineStr">
        <is>
          <t>OPERATING</t>
        </is>
      </c>
    </row>
    <row r="24993">
      <c r="A24993" s="8" t="inlineStr">
        <is>
          <t>2026-08-05</t>
        </is>
      </c>
      <c r="B24993" s="8" t="n">
        <v>14</v>
      </c>
      <c r="C24993" s="8" t="n">
        <v>15</v>
      </c>
      <c r="D24993" s="8" t="inlineStr">
        <is>
          <t>Disneyland Park</t>
        </is>
      </c>
      <c r="E24993" s="8" t="inlineStr">
        <is>
          <t>Pirate Galleon</t>
        </is>
      </c>
      <c r="F24993" s="8" t="inlineStr">
        <is>
          <t>STANDBY</t>
        </is>
      </c>
      <c r="G24993" s="8" t="n">
        <v>0</v>
      </c>
      <c r="H24993" s="8" t="inlineStr">
        <is>
          <t>CLOSED</t>
        </is>
      </c>
    </row>
    <row r="24994">
      <c r="A24994" s="8" t="inlineStr">
        <is>
          <t>2026-08-05</t>
        </is>
      </c>
      <c r="B24994" s="8" t="n">
        <v>14</v>
      </c>
      <c r="C24994" s="8" t="n">
        <v>15</v>
      </c>
      <c r="D24994" s="8" t="inlineStr">
        <is>
          <t>Disneyland Park</t>
        </is>
      </c>
      <c r="E24994" s="8" t="inlineStr">
        <is>
          <t>Pirates of the Caribbean</t>
        </is>
      </c>
      <c r="F24994" s="8" t="inlineStr">
        <is>
          <t>STANDBY</t>
        </is>
      </c>
      <c r="G24994" s="8" t="n">
        <v>35</v>
      </c>
      <c r="H24994" s="8" t="inlineStr">
        <is>
          <t>OPERATING</t>
        </is>
      </c>
    </row>
    <row r="24995">
      <c r="A24995" s="8" t="inlineStr">
        <is>
          <t>2026-08-05</t>
        </is>
      </c>
      <c r="B24995" s="8" t="n">
        <v>14</v>
      </c>
      <c r="C24995" s="8" t="n">
        <v>15</v>
      </c>
      <c r="D24995" s="8" t="inlineStr">
        <is>
          <t>Disneyland Park</t>
        </is>
      </c>
      <c r="E24995" s="8" t="inlineStr">
        <is>
          <t>Pirates' Beach</t>
        </is>
      </c>
      <c r="F24995" s="8" t="inlineStr">
        <is>
          <t>STANDBY</t>
        </is>
      </c>
      <c r="G24995" s="8" t="n">
        <v>0</v>
      </c>
      <c r="H24995" s="8" t="inlineStr">
        <is>
          <t>OPERATING</t>
        </is>
      </c>
    </row>
    <row r="24996">
      <c r="A24996" s="8" t="inlineStr">
        <is>
          <t>2026-08-05</t>
        </is>
      </c>
      <c r="B24996" s="8" t="n">
        <v>14</v>
      </c>
      <c r="C24996" s="8" t="n">
        <v>15</v>
      </c>
      <c r="D24996" s="8" t="inlineStr">
        <is>
          <t>Disneyland Park</t>
        </is>
      </c>
      <c r="E24996" s="8" t="inlineStr">
        <is>
          <t>Autopia, presented by Avis</t>
        </is>
      </c>
      <c r="F24996" s="8" t="inlineStr">
        <is>
          <t>STANDBY</t>
        </is>
      </c>
      <c r="G24996" s="8" t="n">
        <v>40</v>
      </c>
      <c r="H24996" s="8" t="inlineStr">
        <is>
          <t>OPERATING</t>
        </is>
      </c>
    </row>
    <row r="24997">
      <c r="A24997" s="8" t="inlineStr">
        <is>
          <t>2026-08-05</t>
        </is>
      </c>
      <c r="B24997" s="8" t="n">
        <v>14</v>
      </c>
      <c r="C24997" s="8" t="n">
        <v>15</v>
      </c>
      <c r="D24997" s="8" t="inlineStr">
        <is>
          <t>Disneyland Park</t>
        </is>
      </c>
      <c r="E24997" s="8" t="inlineStr">
        <is>
          <t>Buzz Lightyear Laser Blast</t>
        </is>
      </c>
      <c r="F24997" s="8" t="inlineStr">
        <is>
          <t>STANDBY</t>
        </is>
      </c>
      <c r="G24997" s="8" t="n">
        <v>45</v>
      </c>
      <c r="H24997" s="8" t="inlineStr">
        <is>
          <t>OPERATING</t>
        </is>
      </c>
    </row>
    <row r="24998">
      <c r="A24998" s="8" t="inlineStr">
        <is>
          <t>2026-08-05</t>
        </is>
      </c>
      <c r="B24998" s="8" t="n">
        <v>14</v>
      </c>
      <c r="C24998" s="8" t="n">
        <v>15</v>
      </c>
      <c r="D24998" s="8" t="inlineStr">
        <is>
          <t>Disneyland Park</t>
        </is>
      </c>
      <c r="E24998" s="8" t="inlineStr">
        <is>
          <t>Disneyland Railroad Discoveryland Station</t>
        </is>
      </c>
      <c r="F24998" s="8" t="inlineStr">
        <is>
          <t>STANDBY</t>
        </is>
      </c>
      <c r="G24998" s="8" t="n">
        <v>0</v>
      </c>
      <c r="H24998" s="8" t="inlineStr">
        <is>
          <t>CLOSED</t>
        </is>
      </c>
    </row>
    <row r="24999">
      <c r="A24999" s="8" t="inlineStr">
        <is>
          <t>2026-08-05</t>
        </is>
      </c>
      <c r="B24999" s="8" t="n">
        <v>14</v>
      </c>
      <c r="C24999" s="8" t="n">
        <v>15</v>
      </c>
      <c r="D24999" s="8" t="inlineStr">
        <is>
          <t>Disneyland Park</t>
        </is>
      </c>
      <c r="E24999" s="8" t="inlineStr">
        <is>
          <t>Les Mystères du Nautilus</t>
        </is>
      </c>
      <c r="F24999" s="8" t="inlineStr">
        <is>
          <t>STANDBY</t>
        </is>
      </c>
      <c r="G24999" s="8" t="n">
        <v>5</v>
      </c>
      <c r="H24999" s="8" t="inlineStr">
        <is>
          <t>OPERATING</t>
        </is>
      </c>
    </row>
    <row r="25000">
      <c r="A25000" s="8" t="inlineStr">
        <is>
          <t>2026-08-05</t>
        </is>
      </c>
      <c r="B25000" s="8" t="n">
        <v>14</v>
      </c>
      <c r="C25000" s="8" t="n">
        <v>15</v>
      </c>
      <c r="D25000" s="8" t="inlineStr">
        <is>
          <t>Disneyland Park</t>
        </is>
      </c>
      <c r="E25000" s="8" t="inlineStr">
        <is>
          <t>Mickey’s PhilharMagic</t>
        </is>
      </c>
      <c r="F25000" s="8" t="inlineStr">
        <is>
          <t>STANDBY</t>
        </is>
      </c>
      <c r="G25000" s="8" t="n">
        <v>0</v>
      </c>
      <c r="H25000" s="8" t="inlineStr">
        <is>
          <t>OPERATING</t>
        </is>
      </c>
    </row>
    <row r="25001">
      <c r="A25001" s="8" t="inlineStr">
        <is>
          <t>2026-08-05</t>
        </is>
      </c>
      <c r="B25001" s="8" t="n">
        <v>14</v>
      </c>
      <c r="C25001" s="8" t="n">
        <v>15</v>
      </c>
      <c r="D25001" s="8" t="inlineStr">
        <is>
          <t>Disneyland Park</t>
        </is>
      </c>
      <c r="E25001" s="8" t="inlineStr">
        <is>
          <t>Orbitron®</t>
        </is>
      </c>
      <c r="F25001" s="8" t="inlineStr">
        <is>
          <t>STANDBY</t>
        </is>
      </c>
      <c r="G25001" s="8" t="n">
        <v>55</v>
      </c>
      <c r="H25001" s="8" t="inlineStr">
        <is>
          <t>OPERATING</t>
        </is>
      </c>
    </row>
    <row r="25002">
      <c r="A25002" s="8" t="inlineStr">
        <is>
          <t>2026-08-05</t>
        </is>
      </c>
      <c r="B25002" s="8" t="n">
        <v>14</v>
      </c>
      <c r="C25002" s="8" t="n">
        <v>15</v>
      </c>
      <c r="D25002" s="8" t="inlineStr">
        <is>
          <t>Disneyland Park</t>
        </is>
      </c>
      <c r="E25002" s="8" t="inlineStr">
        <is>
          <t>Star Tours: The Adventures Continue*</t>
        </is>
      </c>
      <c r="F25002" s="8" t="inlineStr">
        <is>
          <t>STANDBY</t>
        </is>
      </c>
      <c r="G25002" s="8" t="n">
        <v>15</v>
      </c>
      <c r="H25002" s="8" t="inlineStr">
        <is>
          <t>OPERATING</t>
        </is>
      </c>
    </row>
    <row r="25003">
      <c r="A25003" s="8" t="inlineStr">
        <is>
          <t>2026-08-05</t>
        </is>
      </c>
      <c r="B25003" s="8" t="n">
        <v>14</v>
      </c>
      <c r="C25003" s="8" t="n">
        <v>15</v>
      </c>
      <c r="D25003" s="8" t="inlineStr">
        <is>
          <t>Disneyland Park</t>
        </is>
      </c>
      <c r="E25003" s="8" t="inlineStr">
        <is>
          <t>Star Wars Hyperspace Mountain</t>
        </is>
      </c>
      <c r="F25003" s="8" t="inlineStr">
        <is>
          <t>STANDBY</t>
        </is>
      </c>
      <c r="G25003" s="8" t="n">
        <v>35</v>
      </c>
      <c r="H25003" s="8" t="inlineStr">
        <is>
          <t>OPERATING</t>
        </is>
      </c>
    </row>
    <row r="25004">
      <c r="A25004" s="8" t="inlineStr">
        <is>
          <t>2026-08-05</t>
        </is>
      </c>
      <c r="B25004" s="8" t="n">
        <v>14</v>
      </c>
      <c r="C25004" s="8" t="n">
        <v>15</v>
      </c>
      <c r="D25004" s="8" t="inlineStr">
        <is>
          <t>Disneyland Park</t>
        </is>
      </c>
      <c r="E25004" s="8" t="inlineStr">
        <is>
          <t>Star Wars Hyperspace Mountain Single Rider</t>
        </is>
      </c>
      <c r="F25004" s="8" t="inlineStr">
        <is>
          <t>STANDBY</t>
        </is>
      </c>
      <c r="G25004" s="8" t="n">
        <v>30</v>
      </c>
      <c r="H25004" s="8" t="inlineStr">
        <is>
          <t>OPERATING</t>
        </is>
      </c>
    </row>
    <row r="25005">
      <c r="A25005" s="8" t="inlineStr">
        <is>
          <t>2026-08-05</t>
        </is>
      </c>
      <c r="B25005" s="8" t="n">
        <v>14</v>
      </c>
      <c r="C25005" s="8" t="n">
        <v>15</v>
      </c>
      <c r="D25005" s="8" t="inlineStr">
        <is>
          <t>Disneyland Park</t>
        </is>
      </c>
      <c r="E25005" s="8" t="inlineStr">
        <is>
          <t>Welcome to Starport: A Star Wars Encounter</t>
        </is>
      </c>
      <c r="F25005" s="8" t="inlineStr">
        <is>
          <t>STANDBY</t>
        </is>
      </c>
      <c r="G25005" s="8" t="n">
        <v>15</v>
      </c>
      <c r="H25005" s="8" t="inlineStr">
        <is>
          <t>OPERATING</t>
        </is>
      </c>
    </row>
    <row r="25006">
      <c r="A25006" s="8" t="inlineStr">
        <is>
          <t>2026-08-05</t>
        </is>
      </c>
      <c r="B25006" s="8" t="n">
        <v>14</v>
      </c>
      <c r="C25006" s="8" t="n">
        <v>15</v>
      </c>
      <c r="D25006" s="8" t="inlineStr">
        <is>
          <t>Disneyland Park</t>
        </is>
      </c>
      <c r="E25006" s="8" t="inlineStr">
        <is>
          <t>"it's a small world"</t>
        </is>
      </c>
      <c r="F25006" s="8" t="inlineStr">
        <is>
          <t>STANDBY</t>
        </is>
      </c>
      <c r="G25006" s="8" t="n">
        <v>20</v>
      </c>
      <c r="H25006" s="8" t="inlineStr">
        <is>
          <t>OPERATING</t>
        </is>
      </c>
    </row>
    <row r="25007">
      <c r="A25007" s="8" t="inlineStr">
        <is>
          <t>2026-08-05</t>
        </is>
      </c>
      <c r="B25007" s="8" t="n">
        <v>14</v>
      </c>
      <c r="C25007" s="8" t="n">
        <v>15</v>
      </c>
      <c r="D25007" s="8" t="inlineStr">
        <is>
          <t>Disneyland Park</t>
        </is>
      </c>
      <c r="E25007" s="8" t="inlineStr">
        <is>
          <t>Alice's Curious Labyrinth</t>
        </is>
      </c>
      <c r="F25007" s="8" t="inlineStr">
        <is>
          <t>STANDBY</t>
        </is>
      </c>
      <c r="G25007" s="8" t="n">
        <v>5</v>
      </c>
      <c r="H25007" s="8" t="inlineStr">
        <is>
          <t>OPERATING</t>
        </is>
      </c>
    </row>
    <row r="25008">
      <c r="A25008" s="8" t="inlineStr">
        <is>
          <t>2026-08-05</t>
        </is>
      </c>
      <c r="B25008" s="8" t="n">
        <v>14</v>
      </c>
      <c r="C25008" s="8" t="n">
        <v>15</v>
      </c>
      <c r="D25008" s="8" t="inlineStr">
        <is>
          <t>Disneyland Park</t>
        </is>
      </c>
      <c r="E25008" s="8" t="inlineStr">
        <is>
          <t>Blanche-Neige et les Sept Nains®</t>
        </is>
      </c>
      <c r="F25008" s="8" t="inlineStr">
        <is>
          <t>STANDBY</t>
        </is>
      </c>
      <c r="G25008" s="8" t="n">
        <v>10</v>
      </c>
      <c r="H25008" s="8" t="inlineStr">
        <is>
          <t>OPERATING</t>
        </is>
      </c>
    </row>
    <row r="25009">
      <c r="A25009" s="8" t="inlineStr">
        <is>
          <t>2026-08-05</t>
        </is>
      </c>
      <c r="B25009" s="8" t="n">
        <v>14</v>
      </c>
      <c r="C25009" s="8" t="n">
        <v>15</v>
      </c>
      <c r="D25009" s="8" t="inlineStr">
        <is>
          <t>Disneyland Park</t>
        </is>
      </c>
      <c r="E25009" s="8" t="inlineStr">
        <is>
          <t>Casey Jr. – le Petit Train du Cirque</t>
        </is>
      </c>
      <c r="F25009" s="8" t="inlineStr">
        <is>
          <t>STANDBY</t>
        </is>
      </c>
      <c r="G25009" s="8" t="n">
        <v>20</v>
      </c>
      <c r="H25009" s="8" t="inlineStr">
        <is>
          <t>OPERATING</t>
        </is>
      </c>
    </row>
    <row r="25010">
      <c r="A25010" s="8" t="inlineStr">
        <is>
          <t>2026-08-05</t>
        </is>
      </c>
      <c r="B25010" s="8" t="n">
        <v>14</v>
      </c>
      <c r="C25010" s="8" t="n">
        <v>15</v>
      </c>
      <c r="D25010" s="8" t="inlineStr">
        <is>
          <t>Disneyland Park</t>
        </is>
      </c>
      <c r="E25010" s="8" t="inlineStr">
        <is>
          <t>Disneyland Railroad Fantasyland Station</t>
        </is>
      </c>
      <c r="F25010" s="8" t="inlineStr">
        <is>
          <t>STANDBY</t>
        </is>
      </c>
      <c r="G25010" s="8" t="n">
        <v>0</v>
      </c>
      <c r="H25010" s="8" t="inlineStr">
        <is>
          <t>CLOSED</t>
        </is>
      </c>
    </row>
    <row r="25011">
      <c r="A25011" s="8" t="inlineStr">
        <is>
          <t>2026-08-05</t>
        </is>
      </c>
      <c r="B25011" s="8" t="n">
        <v>14</v>
      </c>
      <c r="C25011" s="8" t="n">
        <v>15</v>
      </c>
      <c r="D25011" s="8" t="inlineStr">
        <is>
          <t>Disneyland Park</t>
        </is>
      </c>
      <c r="E25011" s="8" t="inlineStr">
        <is>
          <t>Disneyland Railroad Main Street Station</t>
        </is>
      </c>
      <c r="F25011" s="8" t="inlineStr">
        <is>
          <t>STANDBY</t>
        </is>
      </c>
      <c r="G25011" s="8" t="n">
        <v>45</v>
      </c>
      <c r="H25011" s="8" t="inlineStr">
        <is>
          <t>OPERATING</t>
        </is>
      </c>
    </row>
    <row r="25012">
      <c r="A25012" s="8" t="inlineStr">
        <is>
          <t>2026-08-05</t>
        </is>
      </c>
      <c r="B25012" s="8" t="n">
        <v>14</v>
      </c>
      <c r="C25012" s="8" t="n">
        <v>15</v>
      </c>
      <c r="D25012" s="8" t="inlineStr">
        <is>
          <t>Disneyland Park</t>
        </is>
      </c>
      <c r="E25012" s="8" t="inlineStr">
        <is>
          <t>Dumbo the Flying Elephant</t>
        </is>
      </c>
      <c r="F25012" s="8" t="inlineStr">
        <is>
          <t>STANDBY</t>
        </is>
      </c>
      <c r="G25012" s="8" t="n">
        <v>55</v>
      </c>
      <c r="H25012" s="8" t="inlineStr">
        <is>
          <t>OPERATING</t>
        </is>
      </c>
    </row>
    <row r="25013">
      <c r="A25013" s="8" t="inlineStr">
        <is>
          <t>2026-08-05</t>
        </is>
      </c>
      <c r="B25013" s="8" t="n">
        <v>14</v>
      </c>
      <c r="C25013" s="8" t="n">
        <v>15</v>
      </c>
      <c r="D25013" s="8" t="inlineStr">
        <is>
          <t>Disneyland Park</t>
        </is>
      </c>
      <c r="E25013" s="8" t="inlineStr">
        <is>
          <t>La Tanière du Dragon</t>
        </is>
      </c>
      <c r="F25013" s="8" t="inlineStr">
        <is>
          <t>STANDBY</t>
        </is>
      </c>
      <c r="G25013" s="8" t="n">
        <v>0</v>
      </c>
      <c r="H25013" s="8" t="inlineStr">
        <is>
          <t>OPERATING</t>
        </is>
      </c>
    </row>
    <row r="25014">
      <c r="A25014" s="8" t="inlineStr">
        <is>
          <t>2026-08-05</t>
        </is>
      </c>
      <c r="B25014" s="8" t="n">
        <v>14</v>
      </c>
      <c r="C25014" s="8" t="n">
        <v>15</v>
      </c>
      <c r="D25014" s="8" t="inlineStr">
        <is>
          <t>Disneyland Park</t>
        </is>
      </c>
      <c r="E25014" s="8" t="inlineStr">
        <is>
          <t>Le Carrousel de Lancelot</t>
        </is>
      </c>
      <c r="F25014" s="8" t="inlineStr">
        <is>
          <t>STANDBY</t>
        </is>
      </c>
      <c r="G25014" s="8" t="n">
        <v>25</v>
      </c>
      <c r="H25014" s="8" t="inlineStr">
        <is>
          <t>OPERATING</t>
        </is>
      </c>
    </row>
    <row r="25015">
      <c r="A25015" s="8" t="inlineStr">
        <is>
          <t>2026-08-05</t>
        </is>
      </c>
      <c r="B25015" s="8" t="n">
        <v>14</v>
      </c>
      <c r="C25015" s="8" t="n">
        <v>15</v>
      </c>
      <c r="D25015" s="8" t="inlineStr">
        <is>
          <t>Disneyland Park</t>
        </is>
      </c>
      <c r="E25015" s="8" t="inlineStr">
        <is>
          <t>Le Pays des Contes de Fées, presented by Vittel</t>
        </is>
      </c>
      <c r="F25015" s="8" t="inlineStr">
        <is>
          <t>STANDBY</t>
        </is>
      </c>
      <c r="G25015" s="8" t="n">
        <v>5</v>
      </c>
      <c r="H25015" s="8" t="inlineStr">
        <is>
          <t>OPERATING</t>
        </is>
      </c>
    </row>
    <row r="25016">
      <c r="A25016" s="8" t="inlineStr">
        <is>
          <t>2026-08-05</t>
        </is>
      </c>
      <c r="B25016" s="8" t="n">
        <v>14</v>
      </c>
      <c r="C25016" s="8" t="n">
        <v>15</v>
      </c>
      <c r="D25016" s="8" t="inlineStr">
        <is>
          <t>Disneyland Park</t>
        </is>
      </c>
      <c r="E25016" s="8" t="inlineStr">
        <is>
          <t>Les Voyages de Pinocchio</t>
        </is>
      </c>
      <c r="F25016" s="8" t="inlineStr">
        <is>
          <t>STANDBY</t>
        </is>
      </c>
      <c r="G25016" s="8" t="n">
        <v>30</v>
      </c>
      <c r="H25016" s="8" t="inlineStr">
        <is>
          <t>OPERATING</t>
        </is>
      </c>
    </row>
    <row r="25017">
      <c r="A25017" s="8" t="inlineStr">
        <is>
          <t>2026-08-05</t>
        </is>
      </c>
      <c r="B25017" s="8" t="n">
        <v>14</v>
      </c>
      <c r="C25017" s="8" t="n">
        <v>15</v>
      </c>
      <c r="D25017" s="8" t="inlineStr">
        <is>
          <t>Disneyland Park</t>
        </is>
      </c>
      <c r="E25017" s="8" t="inlineStr">
        <is>
          <t>Mad Hatter's Tea Cups</t>
        </is>
      </c>
      <c r="F25017" s="8" t="inlineStr">
        <is>
          <t>STANDBY</t>
        </is>
      </c>
      <c r="G25017" s="8" t="n">
        <v>10</v>
      </c>
      <c r="H25017" s="8" t="inlineStr">
        <is>
          <t>OPERATING</t>
        </is>
      </c>
    </row>
    <row r="25018">
      <c r="A25018" s="8" t="inlineStr">
        <is>
          <t>2026-08-05</t>
        </is>
      </c>
      <c r="B25018" s="8" t="n">
        <v>14</v>
      </c>
      <c r="C25018" s="8" t="n">
        <v>15</v>
      </c>
      <c r="D25018" s="8" t="inlineStr">
        <is>
          <t>Disneyland Park</t>
        </is>
      </c>
      <c r="E25018" s="8" t="inlineStr">
        <is>
          <t>Meet Mickey Mouse</t>
        </is>
      </c>
      <c r="F25018" s="8" t="inlineStr">
        <is>
          <t>STANDBY</t>
        </is>
      </c>
      <c r="G25018" s="8" t="n">
        <v>0</v>
      </c>
      <c r="H25018" s="8" t="inlineStr">
        <is>
          <t>OPERATING</t>
        </is>
      </c>
    </row>
    <row r="25019">
      <c r="A25019" s="8" t="inlineStr">
        <is>
          <t>2026-08-05</t>
        </is>
      </c>
      <c r="B25019" s="8" t="n">
        <v>14</v>
      </c>
      <c r="C25019" s="8" t="n">
        <v>15</v>
      </c>
      <c r="D25019" s="8" t="inlineStr">
        <is>
          <t>Disneyland Park</t>
        </is>
      </c>
      <c r="E25019" s="8" t="inlineStr">
        <is>
          <t>Peter Pan's Flight</t>
        </is>
      </c>
      <c r="F25019" s="8" t="inlineStr">
        <is>
          <t>STANDBY</t>
        </is>
      </c>
      <c r="G25019" s="8" t="n">
        <v>65</v>
      </c>
      <c r="H25019" s="8" t="inlineStr">
        <is>
          <t>OPERATING</t>
        </is>
      </c>
    </row>
    <row r="25020">
      <c r="A25020" s="8" t="inlineStr">
        <is>
          <t>2026-08-05</t>
        </is>
      </c>
      <c r="B25020" s="8" t="n">
        <v>14</v>
      </c>
      <c r="C25020" s="8" t="n">
        <v>15</v>
      </c>
      <c r="D25020" s="8" t="inlineStr">
        <is>
          <t>Disneyland Park</t>
        </is>
      </c>
      <c r="E25020" s="8" t="inlineStr">
        <is>
          <t>Princess Pavilion</t>
        </is>
      </c>
      <c r="F25020" s="8" t="inlineStr">
        <is>
          <t>STANDBY</t>
        </is>
      </c>
      <c r="G25020" s="8" t="n">
        <v>0</v>
      </c>
      <c r="H25020" s="8" t="inlineStr">
        <is>
          <t>OPERATING</t>
        </is>
      </c>
    </row>
    <row r="25021">
      <c r="A25021" s="8" t="inlineStr">
        <is>
          <t>2026-08-05</t>
        </is>
      </c>
      <c r="B25021" s="8" t="n">
        <v>14</v>
      </c>
      <c r="C25021" s="8" t="n">
        <v>15</v>
      </c>
      <c r="D25021" s="8" t="inlineStr">
        <is>
          <t>Disneyland Park</t>
        </is>
      </c>
      <c r="E25021" s="8" t="inlineStr">
        <is>
          <t>Big Thunder Mountain</t>
        </is>
      </c>
      <c r="F25021" s="8" t="inlineStr">
        <is>
          <t>STANDBY</t>
        </is>
      </c>
      <c r="G25021" s="8" t="n">
        <v>80</v>
      </c>
      <c r="H25021" s="8" t="inlineStr">
        <is>
          <t>OPERATING</t>
        </is>
      </c>
    </row>
    <row r="25022">
      <c r="A25022" s="8" t="inlineStr">
        <is>
          <t>2026-08-05</t>
        </is>
      </c>
      <c r="B25022" s="8" t="n">
        <v>14</v>
      </c>
      <c r="C25022" s="8" t="n">
        <v>15</v>
      </c>
      <c r="D25022" s="8" t="inlineStr">
        <is>
          <t>Disneyland Park</t>
        </is>
      </c>
      <c r="E25022" s="8" t="inlineStr">
        <is>
          <t>Disneyland Railroad Frontierland Depot</t>
        </is>
      </c>
      <c r="F25022" s="8" t="inlineStr">
        <is>
          <t>STANDBY</t>
        </is>
      </c>
      <c r="G25022" s="8" t="n">
        <v>40</v>
      </c>
      <c r="H25022" s="8" t="inlineStr">
        <is>
          <t>OPERATING</t>
        </is>
      </c>
    </row>
    <row r="25023">
      <c r="A25023" s="8" t="inlineStr">
        <is>
          <t>2026-08-05</t>
        </is>
      </c>
      <c r="B25023" s="8" t="n">
        <v>14</v>
      </c>
      <c r="C25023" s="8" t="n">
        <v>15</v>
      </c>
      <c r="D25023" s="8" t="inlineStr">
        <is>
          <t>Disneyland Park</t>
        </is>
      </c>
      <c r="E25023" s="8" t="inlineStr">
        <is>
          <t>Frontierland Playground</t>
        </is>
      </c>
      <c r="F25023" s="8" t="inlineStr">
        <is>
          <t>STANDBY</t>
        </is>
      </c>
      <c r="G25023" s="8" t="n">
        <v>0</v>
      </c>
      <c r="H25023" s="8" t="inlineStr">
        <is>
          <t>OPERATING</t>
        </is>
      </c>
    </row>
    <row r="25024">
      <c r="A25024" s="8" t="inlineStr">
        <is>
          <t>2026-08-05</t>
        </is>
      </c>
      <c r="B25024" s="8" t="n">
        <v>14</v>
      </c>
      <c r="C25024" s="8" t="n">
        <v>15</v>
      </c>
      <c r="D25024" s="8" t="inlineStr">
        <is>
          <t>Disneyland Park</t>
        </is>
      </c>
      <c r="E25024" s="8" t="inlineStr">
        <is>
          <t>Phantom Manor</t>
        </is>
      </c>
      <c r="F25024" s="8" t="inlineStr">
        <is>
          <t>STANDBY</t>
        </is>
      </c>
      <c r="G25024" s="8" t="n">
        <v>20</v>
      </c>
      <c r="H25024" s="8" t="inlineStr">
        <is>
          <t>OPERATING</t>
        </is>
      </c>
    </row>
    <row r="25025">
      <c r="A25025" s="8" t="inlineStr">
        <is>
          <t>2026-08-05</t>
        </is>
      </c>
      <c r="B25025" s="8" t="n">
        <v>14</v>
      </c>
      <c r="C25025" s="8" t="n">
        <v>15</v>
      </c>
      <c r="D25025" s="8" t="inlineStr">
        <is>
          <t>Disneyland Park</t>
        </is>
      </c>
      <c r="E25025" s="8" t="inlineStr">
        <is>
          <t>River Rogue Keelboats</t>
        </is>
      </c>
      <c r="F25025" s="8" t="inlineStr">
        <is>
          <t>STANDBY</t>
        </is>
      </c>
      <c r="G25025" s="8" t="n">
        <v>0</v>
      </c>
      <c r="H25025" s="8" t="inlineStr">
        <is>
          <t>CLOSED</t>
        </is>
      </c>
    </row>
    <row r="25026">
      <c r="A25026" s="8" t="inlineStr">
        <is>
          <t>2026-08-05</t>
        </is>
      </c>
      <c r="B25026" s="8" t="n">
        <v>14</v>
      </c>
      <c r="C25026" s="8" t="n">
        <v>15</v>
      </c>
      <c r="D25026" s="8" t="inlineStr">
        <is>
          <t>Disneyland Park</t>
        </is>
      </c>
      <c r="E25026" s="8" t="inlineStr">
        <is>
          <t>Rustler Roundup Shootin' Gallery</t>
        </is>
      </c>
      <c r="F25026" s="8" t="inlineStr">
        <is>
          <t>STANDBY</t>
        </is>
      </c>
      <c r="G25026" s="8" t="n">
        <v>0</v>
      </c>
      <c r="H25026" s="8" t="inlineStr">
        <is>
          <t>OPERATING</t>
        </is>
      </c>
    </row>
    <row r="25027">
      <c r="A25027" s="8" t="inlineStr">
        <is>
          <t>2026-08-05</t>
        </is>
      </c>
      <c r="B25027" s="8" t="n">
        <v>14</v>
      </c>
      <c r="C25027" s="8" t="n">
        <v>15</v>
      </c>
      <c r="D25027" s="8" t="inlineStr">
        <is>
          <t>Disneyland Park</t>
        </is>
      </c>
      <c r="E25027" s="8" t="inlineStr">
        <is>
          <t>Thunder Mesa Riverboat Landing</t>
        </is>
      </c>
      <c r="F25027" s="8" t="inlineStr">
        <is>
          <t>STANDBY</t>
        </is>
      </c>
      <c r="G25027" s="8" t="n">
        <v>20</v>
      </c>
      <c r="H25027" s="8" t="inlineStr">
        <is>
          <t>OPERATING</t>
        </is>
      </c>
    </row>
    <row r="25028">
      <c r="A25028" s="8" t="inlineStr">
        <is>
          <t>2026-08-05</t>
        </is>
      </c>
      <c r="B25028" s="8" t="n">
        <v>14</v>
      </c>
      <c r="C25028" s="8" t="n">
        <v>15</v>
      </c>
      <c r="D25028" s="8" t="inlineStr">
        <is>
          <t>Disneyland Park</t>
        </is>
      </c>
      <c r="E25028" s="8" t="inlineStr">
        <is>
          <t>Disneyland Railroad Main Street Station</t>
        </is>
      </c>
      <c r="F25028" s="8" t="inlineStr">
        <is>
          <t>STANDBY</t>
        </is>
      </c>
      <c r="G25028" s="8" t="n">
        <v>0</v>
      </c>
      <c r="H25028" s="8" t="inlineStr">
        <is>
          <t>OPERATING</t>
        </is>
      </c>
    </row>
    <row r="25029">
      <c r="A25029" s="8" t="inlineStr">
        <is>
          <t>2026-08-05</t>
        </is>
      </c>
      <c r="B25029" s="8" t="n">
        <v>14</v>
      </c>
      <c r="C25029" s="8" t="n">
        <v>15</v>
      </c>
      <c r="D25029" s="8" t="inlineStr">
        <is>
          <t>Disneyland Park</t>
        </is>
      </c>
      <c r="E25029" s="8" t="inlineStr">
        <is>
          <t>Main Street Vehicles</t>
        </is>
      </c>
      <c r="F25029" s="8" t="inlineStr">
        <is>
          <t>STANDBY</t>
        </is>
      </c>
      <c r="G25029" s="8" t="n">
        <v>0</v>
      </c>
      <c r="H25029" s="8" t="inlineStr">
        <is>
          <t>CLOSED</t>
        </is>
      </c>
    </row>
    <row r="25030">
      <c r="A25030" s="8" t="inlineStr">
        <is>
          <t>2026-08-05</t>
        </is>
      </c>
      <c r="B25030" s="8" t="n">
        <v>14</v>
      </c>
      <c r="C25030" s="8" t="n">
        <v>15</v>
      </c>
      <c r="D25030" s="8" t="inlineStr">
        <is>
          <t>Disney Adventure World</t>
        </is>
      </c>
      <c r="E25030" s="8" t="inlineStr">
        <is>
          <t>Avengers Assemble: Flight Force</t>
        </is>
      </c>
      <c r="F25030" s="8" t="inlineStr">
        <is>
          <t>STANDBY</t>
        </is>
      </c>
      <c r="G25030" s="8" t="n">
        <v>30</v>
      </c>
      <c r="H25030" s="8" t="inlineStr">
        <is>
          <t>OPERATING</t>
        </is>
      </c>
    </row>
    <row r="25031">
      <c r="A25031" s="8" t="inlineStr">
        <is>
          <t>2026-08-05</t>
        </is>
      </c>
      <c r="B25031" s="8" t="n">
        <v>14</v>
      </c>
      <c r="C25031" s="8" t="n">
        <v>15</v>
      </c>
      <c r="D25031" s="8" t="inlineStr">
        <is>
          <t>Disney Adventure World</t>
        </is>
      </c>
      <c r="E25031" s="8" t="inlineStr">
        <is>
          <t>Avengers Assemble: Flight Force Single Rider</t>
        </is>
      </c>
      <c r="F25031" s="8" t="inlineStr">
        <is>
          <t>STANDBY</t>
        </is>
      </c>
      <c r="G25031" s="8" t="n">
        <v>20</v>
      </c>
      <c r="H25031" s="8" t="inlineStr">
        <is>
          <t>OPERATING</t>
        </is>
      </c>
    </row>
    <row r="25032">
      <c r="A25032" s="8" t="inlineStr">
        <is>
          <t>2026-08-05</t>
        </is>
      </c>
      <c r="B25032" s="8" t="n">
        <v>14</v>
      </c>
      <c r="C25032" s="8" t="n">
        <v>15</v>
      </c>
      <c r="D25032" s="8" t="inlineStr">
        <is>
          <t>Disney Adventure World</t>
        </is>
      </c>
      <c r="E25032" s="8" t="inlineStr">
        <is>
          <t>Spider-Man W.E.B. Adventure</t>
        </is>
      </c>
      <c r="F25032" s="8" t="inlineStr">
        <is>
          <t>STANDBY</t>
        </is>
      </c>
      <c r="G25032" s="8" t="n">
        <v>55</v>
      </c>
      <c r="H25032" s="8" t="inlineStr">
        <is>
          <t>OPERATING</t>
        </is>
      </c>
    </row>
    <row r="25033">
      <c r="A25033" s="8" t="inlineStr">
        <is>
          <t>2026-08-05</t>
        </is>
      </c>
      <c r="B25033" s="8" t="n">
        <v>14</v>
      </c>
      <c r="C25033" s="8" t="n">
        <v>15</v>
      </c>
      <c r="D25033" s="8" t="inlineStr">
        <is>
          <t>Disney Adventure World</t>
        </is>
      </c>
      <c r="E25033" s="8" t="inlineStr">
        <is>
          <t>Spider-Man W.E.B. Adventure Single Rider</t>
        </is>
      </c>
      <c r="F25033" s="8" t="inlineStr">
        <is>
          <t>STANDBY</t>
        </is>
      </c>
      <c r="G25033" s="8" t="n">
        <v>25</v>
      </c>
      <c r="H25033" s="8" t="inlineStr">
        <is>
          <t>OPERATING</t>
        </is>
      </c>
    </row>
    <row r="25034">
      <c r="A25034" s="8" t="inlineStr">
        <is>
          <t>2026-08-05</t>
        </is>
      </c>
      <c r="B25034" s="8" t="n">
        <v>14</v>
      </c>
      <c r="C25034" s="8" t="n">
        <v>15</v>
      </c>
      <c r="D25034" s="8" t="inlineStr">
        <is>
          <t>Disney Adventure World</t>
        </is>
      </c>
      <c r="E25034" s="8" t="inlineStr">
        <is>
          <t>The Twilight Zone Tower of Terror</t>
        </is>
      </c>
      <c r="F25034" s="8" t="inlineStr">
        <is>
          <t>STANDBY</t>
        </is>
      </c>
      <c r="G25034" s="8" t="n">
        <v>40</v>
      </c>
      <c r="H25034" s="8" t="inlineStr">
        <is>
          <t>OPERATING</t>
        </is>
      </c>
    </row>
    <row r="25035">
      <c r="A25035" s="8" t="inlineStr">
        <is>
          <t>2026-08-05</t>
        </is>
      </c>
      <c r="B25035" s="8" t="n">
        <v>14</v>
      </c>
      <c r="C25035" s="8" t="n">
        <v>15</v>
      </c>
      <c r="D25035" s="8" t="inlineStr">
        <is>
          <t>Disney Adventure World</t>
        </is>
      </c>
      <c r="E25035" s="8" t="inlineStr">
        <is>
          <t>Cars Quatre Roues Rallye</t>
        </is>
      </c>
      <c r="F25035" s="8" t="inlineStr">
        <is>
          <t>STANDBY</t>
        </is>
      </c>
      <c r="G25035" s="8" t="n">
        <v>20</v>
      </c>
      <c r="H25035" s="8" t="inlineStr">
        <is>
          <t>OPERATING</t>
        </is>
      </c>
    </row>
    <row r="25036">
      <c r="A25036" s="8" t="inlineStr">
        <is>
          <t>2026-08-05</t>
        </is>
      </c>
      <c r="B25036" s="8" t="n">
        <v>14</v>
      </c>
      <c r="C25036" s="8" t="n">
        <v>15</v>
      </c>
      <c r="D25036" s="8" t="inlineStr">
        <is>
          <t>Disney Adventure World</t>
        </is>
      </c>
      <c r="E25036" s="8" t="inlineStr">
        <is>
          <t>Cars ROAD TRIP</t>
        </is>
      </c>
      <c r="F25036" s="8" t="inlineStr">
        <is>
          <t>STANDBY</t>
        </is>
      </c>
      <c r="G25036" s="8" t="n">
        <v>5</v>
      </c>
      <c r="H25036" s="8" t="inlineStr">
        <is>
          <t>OPERATING</t>
        </is>
      </c>
    </row>
    <row r="25037">
      <c r="A25037" s="8" t="inlineStr">
        <is>
          <t>2026-08-05</t>
        </is>
      </c>
      <c r="B25037" s="8" t="n">
        <v>14</v>
      </c>
      <c r="C25037" s="8" t="n">
        <v>15</v>
      </c>
      <c r="D25037" s="8" t="inlineStr">
        <is>
          <t>Disney Adventure World</t>
        </is>
      </c>
      <c r="E25037" s="8" t="inlineStr">
        <is>
          <t>Crush's Coaster</t>
        </is>
      </c>
      <c r="F25037" s="8" t="inlineStr">
        <is>
          <t>STANDBY</t>
        </is>
      </c>
      <c r="G25037" s="8" t="n">
        <v>75</v>
      </c>
      <c r="H25037" s="8" t="inlineStr">
        <is>
          <t>OPERATING</t>
        </is>
      </c>
    </row>
    <row r="25038">
      <c r="A25038" s="8" t="inlineStr">
        <is>
          <t>2026-08-05</t>
        </is>
      </c>
      <c r="B25038" s="8" t="n">
        <v>14</v>
      </c>
      <c r="C25038" s="8" t="n">
        <v>15</v>
      </c>
      <c r="D25038" s="8" t="inlineStr">
        <is>
          <t>Disney Adventure World</t>
        </is>
      </c>
      <c r="E25038" s="8" t="inlineStr">
        <is>
          <t>Crush's Coaster Single Rider</t>
        </is>
      </c>
      <c r="F25038" s="8" t="inlineStr">
        <is>
          <t>STANDBY</t>
        </is>
      </c>
      <c r="G25038" s="8" t="n">
        <v>50</v>
      </c>
      <c r="H25038" s="8" t="inlineStr">
        <is>
          <t>OPERATING</t>
        </is>
      </c>
    </row>
    <row r="25039">
      <c r="A25039" s="8" t="inlineStr">
        <is>
          <t>2026-08-05</t>
        </is>
      </c>
      <c r="B25039" s="8" t="n">
        <v>14</v>
      </c>
      <c r="C25039" s="8" t="n">
        <v>15</v>
      </c>
      <c r="D25039" s="8" t="inlineStr">
        <is>
          <t>Disney Adventure World</t>
        </is>
      </c>
      <c r="E25039" s="8" t="inlineStr">
        <is>
          <t>Les Tapis Volants - Flying Carpets Over Agrabah®</t>
        </is>
      </c>
      <c r="F25039" s="8" t="inlineStr">
        <is>
          <t>STANDBY</t>
        </is>
      </c>
      <c r="G25039" s="8" t="n">
        <v>25</v>
      </c>
      <c r="H25039" s="8" t="inlineStr">
        <is>
          <t>OPERATING</t>
        </is>
      </c>
    </row>
    <row r="25040">
      <c r="A25040" s="8" t="inlineStr">
        <is>
          <t>2026-08-05</t>
        </is>
      </c>
      <c r="B25040" s="8" t="n">
        <v>14</v>
      </c>
      <c r="C25040" s="8" t="n">
        <v>15</v>
      </c>
      <c r="D25040" s="8" t="inlineStr">
        <is>
          <t>Disney Adventure World</t>
        </is>
      </c>
      <c r="E25040" s="8" t="inlineStr">
        <is>
          <t>Ratatouille : L’Aventure Totalement Toquée de Rémy​</t>
        </is>
      </c>
      <c r="F25040" s="8" t="inlineStr">
        <is>
          <t>STANDBY</t>
        </is>
      </c>
      <c r="G25040" s="8" t="n">
        <v>55</v>
      </c>
      <c r="H25040" s="8" t="inlineStr">
        <is>
          <t>OPERATING</t>
        </is>
      </c>
    </row>
    <row r="25041">
      <c r="A25041" s="8" t="inlineStr">
        <is>
          <t>2026-08-05</t>
        </is>
      </c>
      <c r="B25041" s="8" t="n">
        <v>14</v>
      </c>
      <c r="C25041" s="8" t="n">
        <v>15</v>
      </c>
      <c r="D25041" s="8" t="inlineStr">
        <is>
          <t>Disney Adventure World</t>
        </is>
      </c>
      <c r="E25041" s="8" t="inlineStr">
        <is>
          <t>Ratatouille: The Adventure Single Rider</t>
        </is>
      </c>
      <c r="F25041" s="8" t="inlineStr">
        <is>
          <t>STANDBY</t>
        </is>
      </c>
      <c r="G25041" s="8" t="n">
        <v>30</v>
      </c>
      <c r="H25041" s="8" t="inlineStr">
        <is>
          <t>OPERATING</t>
        </is>
      </c>
    </row>
    <row r="25042">
      <c r="A25042" s="8" t="inlineStr">
        <is>
          <t>2026-08-05</t>
        </is>
      </c>
      <c r="B25042" s="8" t="n">
        <v>14</v>
      </c>
      <c r="C25042" s="8" t="n">
        <v>15</v>
      </c>
      <c r="D25042" s="8" t="inlineStr">
        <is>
          <t>Disney Adventure World</t>
        </is>
      </c>
      <c r="E25042" s="8" t="inlineStr">
        <is>
          <t>RC Racer</t>
        </is>
      </c>
      <c r="F25042" s="8" t="inlineStr">
        <is>
          <t>STANDBY</t>
        </is>
      </c>
      <c r="G25042" s="8" t="n">
        <v>50</v>
      </c>
      <c r="H25042" s="8" t="inlineStr">
        <is>
          <t>OPERATING</t>
        </is>
      </c>
    </row>
    <row r="25043">
      <c r="A25043" s="8" t="inlineStr">
        <is>
          <t>2026-08-05</t>
        </is>
      </c>
      <c r="B25043" s="8" t="n">
        <v>14</v>
      </c>
      <c r="C25043" s="8" t="n">
        <v>15</v>
      </c>
      <c r="D25043" s="8" t="inlineStr">
        <is>
          <t>Disney Adventure World</t>
        </is>
      </c>
      <c r="E25043" s="8" t="inlineStr">
        <is>
          <t>RC Racer Single Rider</t>
        </is>
      </c>
      <c r="F25043" s="8" t="inlineStr">
        <is>
          <t>STANDBY</t>
        </is>
      </c>
      <c r="G25043" s="8" t="n">
        <v>45</v>
      </c>
      <c r="H25043" s="8" t="inlineStr">
        <is>
          <t>OPERATING</t>
        </is>
      </c>
    </row>
    <row r="25044">
      <c r="A25044" s="8" t="inlineStr">
        <is>
          <t>2026-08-05</t>
        </is>
      </c>
      <c r="B25044" s="8" t="n">
        <v>14</v>
      </c>
      <c r="C25044" s="8" t="n">
        <v>15</v>
      </c>
      <c r="D25044" s="8" t="inlineStr">
        <is>
          <t>Disney Adventure World</t>
        </is>
      </c>
      <c r="E25044" s="8" t="inlineStr">
        <is>
          <t>Slinky® Dog Zigzag Spin</t>
        </is>
      </c>
      <c r="F25044" s="8" t="inlineStr">
        <is>
          <t>STANDBY</t>
        </is>
      </c>
      <c r="G25044" s="8" t="n">
        <v>25</v>
      </c>
      <c r="H25044" s="8" t="inlineStr">
        <is>
          <t>OPERATING</t>
        </is>
      </c>
    </row>
    <row r="25045">
      <c r="A25045" s="8" t="inlineStr">
        <is>
          <t>2026-08-05</t>
        </is>
      </c>
      <c r="B25045" s="8" t="n">
        <v>14</v>
      </c>
      <c r="C25045" s="8" t="n">
        <v>15</v>
      </c>
      <c r="D25045" s="8" t="inlineStr">
        <is>
          <t>Disney Adventure World</t>
        </is>
      </c>
      <c r="E25045" s="8" t="inlineStr">
        <is>
          <t>Toy Soldiers Parachute Drop</t>
        </is>
      </c>
      <c r="F25045" s="8" t="inlineStr">
        <is>
          <t>STANDBY</t>
        </is>
      </c>
      <c r="G25045" s="8" t="n">
        <v>55</v>
      </c>
      <c r="H25045" s="8" t="inlineStr">
        <is>
          <t>OPERATING</t>
        </is>
      </c>
    </row>
    <row r="25046">
      <c r="A25046" s="8" t="inlineStr">
        <is>
          <t>2026-08-05</t>
        </is>
      </c>
      <c r="B25046" s="8" t="n">
        <v>14</v>
      </c>
      <c r="C25046" s="8" t="n">
        <v>15</v>
      </c>
      <c r="D25046" s="8" t="inlineStr">
        <is>
          <t>Disney Adventure World</t>
        </is>
      </c>
      <c r="E25046" s="8" t="inlineStr">
        <is>
          <t>Toy Soldiers Parachute Drop Single Rider</t>
        </is>
      </c>
      <c r="F25046" s="8" t="inlineStr">
        <is>
          <t>STANDBY</t>
        </is>
      </c>
      <c r="G25046" s="8" t="n">
        <v>25</v>
      </c>
      <c r="H25046" s="8" t="inlineStr">
        <is>
          <t>OPERATING</t>
        </is>
      </c>
    </row>
    <row r="25047">
      <c r="A25047" s="8" t="inlineStr">
        <is>
          <t>2026-08-05</t>
        </is>
      </c>
      <c r="B25047" s="8" t="n">
        <v>14</v>
      </c>
      <c r="C25047" s="8" t="n">
        <v>15</v>
      </c>
      <c r="D25047" s="8" t="inlineStr">
        <is>
          <t>Disney Adventure World</t>
        </is>
      </c>
      <c r="E25047" s="8" t="inlineStr">
        <is>
          <t>Entry to World of Frozen</t>
        </is>
      </c>
      <c r="F25047" s="8" t="inlineStr">
        <is>
          <t>STANDBY</t>
        </is>
      </c>
      <c r="G25047" s="8" t="n">
        <v>0</v>
      </c>
      <c r="H25047" s="8" t="inlineStr">
        <is>
          <t>OPERATING</t>
        </is>
      </c>
    </row>
    <row r="25048">
      <c r="A25048" s="8" t="inlineStr">
        <is>
          <t>2026-08-05</t>
        </is>
      </c>
      <c r="B25048" s="8" t="n">
        <v>14</v>
      </c>
      <c r="C25048" s="8" t="n">
        <v>15</v>
      </c>
      <c r="D25048" s="8" t="inlineStr">
        <is>
          <t>Disney Adventure World</t>
        </is>
      </c>
      <c r="E25048" s="8" t="inlineStr">
        <is>
          <t>Frozen Ever After</t>
        </is>
      </c>
      <c r="F25048" s="8" t="inlineStr">
        <is>
          <t>STANDBY</t>
        </is>
      </c>
      <c r="G25048" s="8" t="n">
        <v>70</v>
      </c>
      <c r="H25048" s="8" t="inlineStr">
        <is>
          <t>OPERATING</t>
        </is>
      </c>
    </row>
    <row r="25049">
      <c r="A25049" s="8" t="inlineStr">
        <is>
          <t>2026-08-05</t>
        </is>
      </c>
      <c r="B25049" s="8" t="n">
        <v>14</v>
      </c>
      <c r="C25049" s="8" t="n">
        <v>15</v>
      </c>
      <c r="D25049" s="8" t="inlineStr">
        <is>
          <t>Disney Adventure World</t>
        </is>
      </c>
      <c r="E25049" s="8" t="inlineStr">
        <is>
          <t>Raiponce Tangled Spin</t>
        </is>
      </c>
      <c r="F25049" s="8" t="inlineStr">
        <is>
          <t>STANDBY</t>
        </is>
      </c>
      <c r="G25049" s="8" t="n">
        <v>10</v>
      </c>
      <c r="H25049" s="8" t="inlineStr">
        <is>
          <t>OPERATING</t>
        </is>
      </c>
    </row>
    <row r="25050">
      <c r="A25050" s="8" t="inlineStr">
        <is>
          <t>2026-08-05</t>
        </is>
      </c>
      <c r="B25050" s="8" t="n">
        <v>14</v>
      </c>
      <c r="C25050" s="8" t="n">
        <v>31</v>
      </c>
      <c r="D25050" s="8" t="inlineStr">
        <is>
          <t>Disneyland Park</t>
        </is>
      </c>
      <c r="E25050" s="8" t="inlineStr">
        <is>
          <t>Adventure Isle</t>
        </is>
      </c>
      <c r="F25050" s="8" t="inlineStr">
        <is>
          <t>STANDBY</t>
        </is>
      </c>
      <c r="G25050" s="8" t="n">
        <v>0</v>
      </c>
      <c r="H25050" s="8" t="inlineStr">
        <is>
          <t>OPERATING</t>
        </is>
      </c>
    </row>
    <row r="25051">
      <c r="A25051" s="8" t="inlineStr">
        <is>
          <t>2026-08-05</t>
        </is>
      </c>
      <c r="B25051" s="8" t="n">
        <v>14</v>
      </c>
      <c r="C25051" s="8" t="n">
        <v>31</v>
      </c>
      <c r="D25051" s="8" t="inlineStr">
        <is>
          <t>Disneyland Park</t>
        </is>
      </c>
      <c r="E25051" s="8" t="inlineStr">
        <is>
          <t>Indiana Jones and the Temple of Peril Single Rider</t>
        </is>
      </c>
      <c r="F25051" s="8" t="inlineStr">
        <is>
          <t>STANDBY</t>
        </is>
      </c>
      <c r="G25051" s="8" t="n">
        <v>30</v>
      </c>
      <c r="H25051" s="8" t="inlineStr">
        <is>
          <t>OPERATING</t>
        </is>
      </c>
    </row>
    <row r="25052">
      <c r="A25052" s="8" t="inlineStr">
        <is>
          <t>2026-08-05</t>
        </is>
      </c>
      <c r="B25052" s="8" t="n">
        <v>14</v>
      </c>
      <c r="C25052" s="8" t="n">
        <v>31</v>
      </c>
      <c r="D25052" s="8" t="inlineStr">
        <is>
          <t>Disneyland Park</t>
        </is>
      </c>
      <c r="E25052" s="8" t="inlineStr">
        <is>
          <t>Indiana Jones™ and the Temple of Peril</t>
        </is>
      </c>
      <c r="F25052" s="8" t="inlineStr">
        <is>
          <t>STANDBY</t>
        </is>
      </c>
      <c r="G25052" s="8" t="n">
        <v>40</v>
      </c>
      <c r="H25052" s="8" t="inlineStr">
        <is>
          <t>OPERATING</t>
        </is>
      </c>
    </row>
    <row r="25053">
      <c r="A25053" s="8" t="inlineStr">
        <is>
          <t>2026-08-05</t>
        </is>
      </c>
      <c r="B25053" s="8" t="n">
        <v>14</v>
      </c>
      <c r="C25053" s="8" t="n">
        <v>31</v>
      </c>
      <c r="D25053" s="8" t="inlineStr">
        <is>
          <t>Disneyland Park</t>
        </is>
      </c>
      <c r="E25053" s="8" t="inlineStr">
        <is>
          <t>La Cabane des Robinson</t>
        </is>
      </c>
      <c r="F25053" s="8" t="inlineStr">
        <is>
          <t>STANDBY</t>
        </is>
      </c>
      <c r="G25053" s="8" t="n">
        <v>5</v>
      </c>
      <c r="H25053" s="8" t="inlineStr">
        <is>
          <t>OPERATING</t>
        </is>
      </c>
    </row>
    <row r="25054">
      <c r="A25054" s="8" t="inlineStr">
        <is>
          <t>2026-08-05</t>
        </is>
      </c>
      <c r="B25054" s="8" t="n">
        <v>14</v>
      </c>
      <c r="C25054" s="8" t="n">
        <v>31</v>
      </c>
      <c r="D25054" s="8" t="inlineStr">
        <is>
          <t>Disneyland Park</t>
        </is>
      </c>
      <c r="E25054" s="8" t="inlineStr">
        <is>
          <t>Le Passage Enchanté d'Aladdin</t>
        </is>
      </c>
      <c r="F25054" s="8" t="inlineStr">
        <is>
          <t>STANDBY</t>
        </is>
      </c>
      <c r="G25054" s="8" t="n">
        <v>0</v>
      </c>
      <c r="H25054" s="8" t="inlineStr">
        <is>
          <t>OPERATING</t>
        </is>
      </c>
    </row>
    <row r="25055">
      <c r="A25055" s="8" t="inlineStr">
        <is>
          <t>2026-08-05</t>
        </is>
      </c>
      <c r="B25055" s="8" t="n">
        <v>14</v>
      </c>
      <c r="C25055" s="8" t="n">
        <v>31</v>
      </c>
      <c r="D25055" s="8" t="inlineStr">
        <is>
          <t>Disneyland Park</t>
        </is>
      </c>
      <c r="E25055" s="8" t="inlineStr">
        <is>
          <t>Pirate Galleon</t>
        </is>
      </c>
      <c r="F25055" s="8" t="inlineStr">
        <is>
          <t>STANDBY</t>
        </is>
      </c>
      <c r="G25055" s="8" t="n">
        <v>0</v>
      </c>
      <c r="H25055" s="8" t="inlineStr">
        <is>
          <t>CLOSED</t>
        </is>
      </c>
    </row>
    <row r="25056">
      <c r="A25056" s="8" t="inlineStr">
        <is>
          <t>2026-08-05</t>
        </is>
      </c>
      <c r="B25056" s="8" t="n">
        <v>14</v>
      </c>
      <c r="C25056" s="8" t="n">
        <v>31</v>
      </c>
      <c r="D25056" s="8" t="inlineStr">
        <is>
          <t>Disneyland Park</t>
        </is>
      </c>
      <c r="E25056" s="8" t="inlineStr">
        <is>
          <t>Pirates of the Caribbean</t>
        </is>
      </c>
      <c r="F25056" s="8" t="inlineStr">
        <is>
          <t>STANDBY</t>
        </is>
      </c>
      <c r="G25056" s="8" t="n">
        <v>35</v>
      </c>
      <c r="H25056" s="8" t="inlineStr">
        <is>
          <t>OPERATING</t>
        </is>
      </c>
    </row>
    <row r="25057">
      <c r="A25057" s="8" t="inlineStr">
        <is>
          <t>2026-08-05</t>
        </is>
      </c>
      <c r="B25057" s="8" t="n">
        <v>14</v>
      </c>
      <c r="C25057" s="8" t="n">
        <v>31</v>
      </c>
      <c r="D25057" s="8" t="inlineStr">
        <is>
          <t>Disneyland Park</t>
        </is>
      </c>
      <c r="E25057" s="8" t="inlineStr">
        <is>
          <t>Pirates' Beach</t>
        </is>
      </c>
      <c r="F25057" s="8" t="inlineStr">
        <is>
          <t>STANDBY</t>
        </is>
      </c>
      <c r="G25057" s="8" t="n">
        <v>0</v>
      </c>
      <c r="H25057" s="8" t="inlineStr">
        <is>
          <t>OPERATING</t>
        </is>
      </c>
    </row>
    <row r="25058">
      <c r="A25058" s="8" t="inlineStr">
        <is>
          <t>2026-08-05</t>
        </is>
      </c>
      <c r="B25058" s="8" t="n">
        <v>14</v>
      </c>
      <c r="C25058" s="8" t="n">
        <v>31</v>
      </c>
      <c r="D25058" s="8" t="inlineStr">
        <is>
          <t>Disneyland Park</t>
        </is>
      </c>
      <c r="E25058" s="8" t="inlineStr">
        <is>
          <t>Autopia, presented by Avis</t>
        </is>
      </c>
      <c r="F25058" s="8" t="inlineStr">
        <is>
          <t>STANDBY</t>
        </is>
      </c>
      <c r="G25058" s="8" t="n">
        <v>40</v>
      </c>
      <c r="H25058" s="8" t="inlineStr">
        <is>
          <t>OPERATING</t>
        </is>
      </c>
    </row>
    <row r="25059">
      <c r="A25059" s="8" t="inlineStr">
        <is>
          <t>2026-08-05</t>
        </is>
      </c>
      <c r="B25059" s="8" t="n">
        <v>14</v>
      </c>
      <c r="C25059" s="8" t="n">
        <v>31</v>
      </c>
      <c r="D25059" s="8" t="inlineStr">
        <is>
          <t>Disneyland Park</t>
        </is>
      </c>
      <c r="E25059" s="8" t="inlineStr">
        <is>
          <t>Buzz Lightyear Laser Blast</t>
        </is>
      </c>
      <c r="F25059" s="8" t="inlineStr">
        <is>
          <t>STANDBY</t>
        </is>
      </c>
      <c r="G25059" s="8" t="n">
        <v>40</v>
      </c>
      <c r="H25059" s="8" t="inlineStr">
        <is>
          <t>OPERATING</t>
        </is>
      </c>
    </row>
    <row r="25060">
      <c r="A25060" s="8" t="inlineStr">
        <is>
          <t>2026-08-05</t>
        </is>
      </c>
      <c r="B25060" s="8" t="n">
        <v>14</v>
      </c>
      <c r="C25060" s="8" t="n">
        <v>31</v>
      </c>
      <c r="D25060" s="8" t="inlineStr">
        <is>
          <t>Disneyland Park</t>
        </is>
      </c>
      <c r="E25060" s="8" t="inlineStr">
        <is>
          <t>Disneyland Railroad Discoveryland Station</t>
        </is>
      </c>
      <c r="F25060" s="8" t="inlineStr">
        <is>
          <t>STANDBY</t>
        </is>
      </c>
      <c r="G25060" s="8" t="n">
        <v>0</v>
      </c>
      <c r="H25060" s="8" t="inlineStr">
        <is>
          <t>CLOSED</t>
        </is>
      </c>
    </row>
    <row r="25061">
      <c r="A25061" s="8" t="inlineStr">
        <is>
          <t>2026-08-05</t>
        </is>
      </c>
      <c r="B25061" s="8" t="n">
        <v>14</v>
      </c>
      <c r="C25061" s="8" t="n">
        <v>31</v>
      </c>
      <c r="D25061" s="8" t="inlineStr">
        <is>
          <t>Disneyland Park</t>
        </is>
      </c>
      <c r="E25061" s="8" t="inlineStr">
        <is>
          <t>Les Mystères du Nautilus</t>
        </is>
      </c>
      <c r="F25061" s="8" t="inlineStr">
        <is>
          <t>STANDBY</t>
        </is>
      </c>
      <c r="G25061" s="8" t="n">
        <v>5</v>
      </c>
      <c r="H25061" s="8" t="inlineStr">
        <is>
          <t>OPERATING</t>
        </is>
      </c>
    </row>
    <row r="25062">
      <c r="A25062" s="8" t="inlineStr">
        <is>
          <t>2026-08-05</t>
        </is>
      </c>
      <c r="B25062" s="8" t="n">
        <v>14</v>
      </c>
      <c r="C25062" s="8" t="n">
        <v>31</v>
      </c>
      <c r="D25062" s="8" t="inlineStr">
        <is>
          <t>Disneyland Park</t>
        </is>
      </c>
      <c r="E25062" s="8" t="inlineStr">
        <is>
          <t>Mickey’s PhilharMagic</t>
        </is>
      </c>
      <c r="F25062" s="8" t="inlineStr">
        <is>
          <t>STANDBY</t>
        </is>
      </c>
      <c r="G25062" s="8" t="n">
        <v>0</v>
      </c>
      <c r="H25062" s="8" t="inlineStr">
        <is>
          <t>OPERATING</t>
        </is>
      </c>
    </row>
    <row r="25063">
      <c r="A25063" s="8" t="inlineStr">
        <is>
          <t>2026-08-05</t>
        </is>
      </c>
      <c r="B25063" s="8" t="n">
        <v>14</v>
      </c>
      <c r="C25063" s="8" t="n">
        <v>31</v>
      </c>
      <c r="D25063" s="8" t="inlineStr">
        <is>
          <t>Disneyland Park</t>
        </is>
      </c>
      <c r="E25063" s="8" t="inlineStr">
        <is>
          <t>Orbitron®</t>
        </is>
      </c>
      <c r="F25063" s="8" t="inlineStr">
        <is>
          <t>STANDBY</t>
        </is>
      </c>
      <c r="G25063" s="8" t="n">
        <v>50</v>
      </c>
      <c r="H25063" s="8" t="inlineStr">
        <is>
          <t>OPERATING</t>
        </is>
      </c>
    </row>
    <row r="25064">
      <c r="A25064" s="8" t="inlineStr">
        <is>
          <t>2026-08-05</t>
        </is>
      </c>
      <c r="B25064" s="8" t="n">
        <v>14</v>
      </c>
      <c r="C25064" s="8" t="n">
        <v>31</v>
      </c>
      <c r="D25064" s="8" t="inlineStr">
        <is>
          <t>Disneyland Park</t>
        </is>
      </c>
      <c r="E25064" s="8" t="inlineStr">
        <is>
          <t>Star Tours: The Adventures Continue*</t>
        </is>
      </c>
      <c r="F25064" s="8" t="inlineStr">
        <is>
          <t>STANDBY</t>
        </is>
      </c>
      <c r="G25064" s="8" t="n">
        <v>15</v>
      </c>
      <c r="H25064" s="8" t="inlineStr">
        <is>
          <t>OPERATING</t>
        </is>
      </c>
    </row>
    <row r="25065">
      <c r="A25065" s="8" t="inlineStr">
        <is>
          <t>2026-08-05</t>
        </is>
      </c>
      <c r="B25065" s="8" t="n">
        <v>14</v>
      </c>
      <c r="C25065" s="8" t="n">
        <v>31</v>
      </c>
      <c r="D25065" s="8" t="inlineStr">
        <is>
          <t>Disneyland Park</t>
        </is>
      </c>
      <c r="E25065" s="8" t="inlineStr">
        <is>
          <t>Star Wars Hyperspace Mountain</t>
        </is>
      </c>
      <c r="F25065" s="8" t="inlineStr">
        <is>
          <t>STANDBY</t>
        </is>
      </c>
      <c r="G25065" s="8" t="n">
        <v>45</v>
      </c>
      <c r="H25065" s="8" t="inlineStr">
        <is>
          <t>OPERATING</t>
        </is>
      </c>
    </row>
    <row r="25066">
      <c r="A25066" s="8" t="inlineStr">
        <is>
          <t>2026-08-05</t>
        </is>
      </c>
      <c r="B25066" s="8" t="n">
        <v>14</v>
      </c>
      <c r="C25066" s="8" t="n">
        <v>31</v>
      </c>
      <c r="D25066" s="8" t="inlineStr">
        <is>
          <t>Disneyland Park</t>
        </is>
      </c>
      <c r="E25066" s="8" t="inlineStr">
        <is>
          <t>Star Wars Hyperspace Mountain Single Rider</t>
        </is>
      </c>
      <c r="F25066" s="8" t="inlineStr">
        <is>
          <t>STANDBY</t>
        </is>
      </c>
      <c r="G25066" s="8" t="n">
        <v>30</v>
      </c>
      <c r="H25066" s="8" t="inlineStr">
        <is>
          <t>OPERATING</t>
        </is>
      </c>
    </row>
    <row r="25067">
      <c r="A25067" s="8" t="inlineStr">
        <is>
          <t>2026-08-05</t>
        </is>
      </c>
      <c r="B25067" s="8" t="n">
        <v>14</v>
      </c>
      <c r="C25067" s="8" t="n">
        <v>31</v>
      </c>
      <c r="D25067" s="8" t="inlineStr">
        <is>
          <t>Disneyland Park</t>
        </is>
      </c>
      <c r="E25067" s="8" t="inlineStr">
        <is>
          <t>Welcome to Starport: A Star Wars Encounter</t>
        </is>
      </c>
      <c r="F25067" s="8" t="inlineStr">
        <is>
          <t>STANDBY</t>
        </is>
      </c>
      <c r="G25067" s="8" t="n">
        <v>15</v>
      </c>
      <c r="H25067" s="8" t="inlineStr">
        <is>
          <t>OPERATING</t>
        </is>
      </c>
    </row>
    <row r="25068">
      <c r="A25068" s="8" t="inlineStr">
        <is>
          <t>2026-08-05</t>
        </is>
      </c>
      <c r="B25068" s="8" t="n">
        <v>14</v>
      </c>
      <c r="C25068" s="8" t="n">
        <v>31</v>
      </c>
      <c r="D25068" s="8" t="inlineStr">
        <is>
          <t>Disneyland Park</t>
        </is>
      </c>
      <c r="E25068" s="8" t="inlineStr">
        <is>
          <t>"it's a small world"</t>
        </is>
      </c>
      <c r="F25068" s="8" t="inlineStr">
        <is>
          <t>STANDBY</t>
        </is>
      </c>
      <c r="G25068" s="8" t="n">
        <v>15</v>
      </c>
      <c r="H25068" s="8" t="inlineStr">
        <is>
          <t>OPERATING</t>
        </is>
      </c>
    </row>
    <row r="25069">
      <c r="A25069" s="8" t="inlineStr">
        <is>
          <t>2026-08-05</t>
        </is>
      </c>
      <c r="B25069" s="8" t="n">
        <v>14</v>
      </c>
      <c r="C25069" s="8" t="n">
        <v>31</v>
      </c>
      <c r="D25069" s="8" t="inlineStr">
        <is>
          <t>Disneyland Park</t>
        </is>
      </c>
      <c r="E25069" s="8" t="inlineStr">
        <is>
          <t>Alice's Curious Labyrinth</t>
        </is>
      </c>
      <c r="F25069" s="8" t="inlineStr">
        <is>
          <t>STANDBY</t>
        </is>
      </c>
      <c r="G25069" s="8" t="n">
        <v>5</v>
      </c>
      <c r="H25069" s="8" t="inlineStr">
        <is>
          <t>OPERATING</t>
        </is>
      </c>
    </row>
    <row r="25070">
      <c r="A25070" s="8" t="inlineStr">
        <is>
          <t>2026-08-05</t>
        </is>
      </c>
      <c r="B25070" s="8" t="n">
        <v>14</v>
      </c>
      <c r="C25070" s="8" t="n">
        <v>31</v>
      </c>
      <c r="D25070" s="8" t="inlineStr">
        <is>
          <t>Disneyland Park</t>
        </is>
      </c>
      <c r="E25070" s="8" t="inlineStr">
        <is>
          <t>Blanche-Neige et les Sept Nains®</t>
        </is>
      </c>
      <c r="F25070" s="8" t="inlineStr">
        <is>
          <t>STANDBY</t>
        </is>
      </c>
      <c r="G25070" s="8" t="n">
        <v>0</v>
      </c>
      <c r="H25070" s="8" t="inlineStr">
        <is>
          <t>CLOSED</t>
        </is>
      </c>
    </row>
    <row r="25071">
      <c r="A25071" s="8" t="inlineStr">
        <is>
          <t>2026-08-05</t>
        </is>
      </c>
      <c r="B25071" s="8" t="n">
        <v>14</v>
      </c>
      <c r="C25071" s="8" t="n">
        <v>31</v>
      </c>
      <c r="D25071" s="8" t="inlineStr">
        <is>
          <t>Disneyland Park</t>
        </is>
      </c>
      <c r="E25071" s="8" t="inlineStr">
        <is>
          <t>Casey Jr. – le Petit Train du Cirque</t>
        </is>
      </c>
      <c r="F25071" s="8" t="inlineStr">
        <is>
          <t>STANDBY</t>
        </is>
      </c>
      <c r="G25071" s="8" t="n">
        <v>20</v>
      </c>
      <c r="H25071" s="8" t="inlineStr">
        <is>
          <t>OPERATING</t>
        </is>
      </c>
    </row>
    <row r="25072">
      <c r="A25072" s="8" t="inlineStr">
        <is>
          <t>2026-08-05</t>
        </is>
      </c>
      <c r="B25072" s="8" t="n">
        <v>14</v>
      </c>
      <c r="C25072" s="8" t="n">
        <v>31</v>
      </c>
      <c r="D25072" s="8" t="inlineStr">
        <is>
          <t>Disneyland Park</t>
        </is>
      </c>
      <c r="E25072" s="8" t="inlineStr">
        <is>
          <t>Disneyland Railroad Fantasyland Station</t>
        </is>
      </c>
      <c r="F25072" s="8" t="inlineStr">
        <is>
          <t>STANDBY</t>
        </is>
      </c>
      <c r="G25072" s="8" t="n">
        <v>0</v>
      </c>
      <c r="H25072" s="8" t="inlineStr">
        <is>
          <t>CLOSED</t>
        </is>
      </c>
    </row>
    <row r="25073">
      <c r="A25073" s="8" t="inlineStr">
        <is>
          <t>2026-08-05</t>
        </is>
      </c>
      <c r="B25073" s="8" t="n">
        <v>14</v>
      </c>
      <c r="C25073" s="8" t="n">
        <v>31</v>
      </c>
      <c r="D25073" s="8" t="inlineStr">
        <is>
          <t>Disneyland Park</t>
        </is>
      </c>
      <c r="E25073" s="8" t="inlineStr">
        <is>
          <t>Disneyland Railroad Main Street Station</t>
        </is>
      </c>
      <c r="F25073" s="8" t="inlineStr">
        <is>
          <t>STANDBY</t>
        </is>
      </c>
      <c r="G25073" s="8" t="n">
        <v>10</v>
      </c>
      <c r="H25073" s="8" t="inlineStr">
        <is>
          <t>OPERATING</t>
        </is>
      </c>
    </row>
    <row r="25074">
      <c r="A25074" s="8" t="inlineStr">
        <is>
          <t>2026-08-05</t>
        </is>
      </c>
      <c r="B25074" s="8" t="n">
        <v>14</v>
      </c>
      <c r="C25074" s="8" t="n">
        <v>31</v>
      </c>
      <c r="D25074" s="8" t="inlineStr">
        <is>
          <t>Disneyland Park</t>
        </is>
      </c>
      <c r="E25074" s="8" t="inlineStr">
        <is>
          <t>Dumbo the Flying Elephant</t>
        </is>
      </c>
      <c r="F25074" s="8" t="inlineStr">
        <is>
          <t>STANDBY</t>
        </is>
      </c>
      <c r="G25074" s="8" t="n">
        <v>55</v>
      </c>
      <c r="H25074" s="8" t="inlineStr">
        <is>
          <t>OPERATING</t>
        </is>
      </c>
    </row>
    <row r="25075">
      <c r="A25075" s="8" t="inlineStr">
        <is>
          <t>2026-08-05</t>
        </is>
      </c>
      <c r="B25075" s="8" t="n">
        <v>14</v>
      </c>
      <c r="C25075" s="8" t="n">
        <v>31</v>
      </c>
      <c r="D25075" s="8" t="inlineStr">
        <is>
          <t>Disneyland Park</t>
        </is>
      </c>
      <c r="E25075" s="8" t="inlineStr">
        <is>
          <t>La Tanière du Dragon</t>
        </is>
      </c>
      <c r="F25075" s="8" t="inlineStr">
        <is>
          <t>STANDBY</t>
        </is>
      </c>
      <c r="G25075" s="8" t="n">
        <v>0</v>
      </c>
      <c r="H25075" s="8" t="inlineStr">
        <is>
          <t>OPERATING</t>
        </is>
      </c>
    </row>
    <row r="25076">
      <c r="A25076" s="8" t="inlineStr">
        <is>
          <t>2026-08-05</t>
        </is>
      </c>
      <c r="B25076" s="8" t="n">
        <v>14</v>
      </c>
      <c r="C25076" s="8" t="n">
        <v>31</v>
      </c>
      <c r="D25076" s="8" t="inlineStr">
        <is>
          <t>Disneyland Park</t>
        </is>
      </c>
      <c r="E25076" s="8" t="inlineStr">
        <is>
          <t>Le Carrousel de Lancelot</t>
        </is>
      </c>
      <c r="F25076" s="8" t="inlineStr">
        <is>
          <t>STANDBY</t>
        </is>
      </c>
      <c r="G25076" s="8" t="n">
        <v>25</v>
      </c>
      <c r="H25076" s="8" t="inlineStr">
        <is>
          <t>OPERATING</t>
        </is>
      </c>
    </row>
    <row r="25077">
      <c r="A25077" s="8" t="inlineStr">
        <is>
          <t>2026-08-05</t>
        </is>
      </c>
      <c r="B25077" s="8" t="n">
        <v>14</v>
      </c>
      <c r="C25077" s="8" t="n">
        <v>31</v>
      </c>
      <c r="D25077" s="8" t="inlineStr">
        <is>
          <t>Disneyland Park</t>
        </is>
      </c>
      <c r="E25077" s="8" t="inlineStr">
        <is>
          <t>Le Pays des Contes de Fées, presented by Vittel</t>
        </is>
      </c>
      <c r="F25077" s="8" t="inlineStr">
        <is>
          <t>STANDBY</t>
        </is>
      </c>
      <c r="G25077" s="8" t="n">
        <v>5</v>
      </c>
      <c r="H25077" s="8" t="inlineStr">
        <is>
          <t>OPERATING</t>
        </is>
      </c>
    </row>
    <row r="25078">
      <c r="A25078" s="8" t="inlineStr">
        <is>
          <t>2026-08-05</t>
        </is>
      </c>
      <c r="B25078" s="8" t="n">
        <v>14</v>
      </c>
      <c r="C25078" s="8" t="n">
        <v>31</v>
      </c>
      <c r="D25078" s="8" t="inlineStr">
        <is>
          <t>Disneyland Park</t>
        </is>
      </c>
      <c r="E25078" s="8" t="inlineStr">
        <is>
          <t>Les Voyages de Pinocchio</t>
        </is>
      </c>
      <c r="F25078" s="8" t="inlineStr">
        <is>
          <t>STANDBY</t>
        </is>
      </c>
      <c r="G25078" s="8" t="n">
        <v>30</v>
      </c>
      <c r="H25078" s="8" t="inlineStr">
        <is>
          <t>OPERATING</t>
        </is>
      </c>
    </row>
    <row r="25079">
      <c r="A25079" s="8" t="inlineStr">
        <is>
          <t>2026-08-05</t>
        </is>
      </c>
      <c r="B25079" s="8" t="n">
        <v>14</v>
      </c>
      <c r="C25079" s="8" t="n">
        <v>31</v>
      </c>
      <c r="D25079" s="8" t="inlineStr">
        <is>
          <t>Disneyland Park</t>
        </is>
      </c>
      <c r="E25079" s="8" t="inlineStr">
        <is>
          <t>Mad Hatter's Tea Cups</t>
        </is>
      </c>
      <c r="F25079" s="8" t="inlineStr">
        <is>
          <t>STANDBY</t>
        </is>
      </c>
      <c r="G25079" s="8" t="n">
        <v>10</v>
      </c>
      <c r="H25079" s="8" t="inlineStr">
        <is>
          <t>OPERATING</t>
        </is>
      </c>
    </row>
    <row r="25080">
      <c r="A25080" s="8" t="inlineStr">
        <is>
          <t>2026-08-05</t>
        </is>
      </c>
      <c r="B25080" s="8" t="n">
        <v>14</v>
      </c>
      <c r="C25080" s="8" t="n">
        <v>31</v>
      </c>
      <c r="D25080" s="8" t="inlineStr">
        <is>
          <t>Disneyland Park</t>
        </is>
      </c>
      <c r="E25080" s="8" t="inlineStr">
        <is>
          <t>Meet Mickey Mouse</t>
        </is>
      </c>
      <c r="F25080" s="8" t="inlineStr">
        <is>
          <t>STANDBY</t>
        </is>
      </c>
      <c r="G25080" s="8" t="n">
        <v>0</v>
      </c>
      <c r="H25080" s="8" t="inlineStr">
        <is>
          <t>OPERATING</t>
        </is>
      </c>
    </row>
    <row r="25081">
      <c r="A25081" s="8" t="inlineStr">
        <is>
          <t>2026-08-05</t>
        </is>
      </c>
      <c r="B25081" s="8" t="n">
        <v>14</v>
      </c>
      <c r="C25081" s="8" t="n">
        <v>31</v>
      </c>
      <c r="D25081" s="8" t="inlineStr">
        <is>
          <t>Disneyland Park</t>
        </is>
      </c>
      <c r="E25081" s="8" t="inlineStr">
        <is>
          <t>Peter Pan's Flight</t>
        </is>
      </c>
      <c r="F25081" s="8" t="inlineStr">
        <is>
          <t>STANDBY</t>
        </is>
      </c>
      <c r="G25081" s="8" t="n">
        <v>60</v>
      </c>
      <c r="H25081" s="8" t="inlineStr">
        <is>
          <t>OPERATING</t>
        </is>
      </c>
    </row>
    <row r="25082">
      <c r="A25082" s="8" t="inlineStr">
        <is>
          <t>2026-08-05</t>
        </is>
      </c>
      <c r="B25082" s="8" t="n">
        <v>14</v>
      </c>
      <c r="C25082" s="8" t="n">
        <v>31</v>
      </c>
      <c r="D25082" s="8" t="inlineStr">
        <is>
          <t>Disneyland Park</t>
        </is>
      </c>
      <c r="E25082" s="8" t="inlineStr">
        <is>
          <t>Princess Pavilion</t>
        </is>
      </c>
      <c r="F25082" s="8" t="inlineStr">
        <is>
          <t>STANDBY</t>
        </is>
      </c>
      <c r="G25082" s="8" t="n">
        <v>0</v>
      </c>
      <c r="H25082" s="8" t="inlineStr">
        <is>
          <t>OPERATING</t>
        </is>
      </c>
    </row>
    <row r="25083">
      <c r="A25083" s="8" t="inlineStr">
        <is>
          <t>2026-08-05</t>
        </is>
      </c>
      <c r="B25083" s="8" t="n">
        <v>14</v>
      </c>
      <c r="C25083" s="8" t="n">
        <v>31</v>
      </c>
      <c r="D25083" s="8" t="inlineStr">
        <is>
          <t>Disneyland Park</t>
        </is>
      </c>
      <c r="E25083" s="8" t="inlineStr">
        <is>
          <t>Big Thunder Mountain</t>
        </is>
      </c>
      <c r="F25083" s="8" t="inlineStr">
        <is>
          <t>STANDBY</t>
        </is>
      </c>
      <c r="G25083" s="8" t="n">
        <v>80</v>
      </c>
      <c r="H25083" s="8" t="inlineStr">
        <is>
          <t>OPERATING</t>
        </is>
      </c>
    </row>
    <row r="25084">
      <c r="A25084" s="8" t="inlineStr">
        <is>
          <t>2026-08-05</t>
        </is>
      </c>
      <c r="B25084" s="8" t="n">
        <v>14</v>
      </c>
      <c r="C25084" s="8" t="n">
        <v>31</v>
      </c>
      <c r="D25084" s="8" t="inlineStr">
        <is>
          <t>Disneyland Park</t>
        </is>
      </c>
      <c r="E25084" s="8" t="inlineStr">
        <is>
          <t>Disneyland Railroad Frontierland Depot</t>
        </is>
      </c>
      <c r="F25084" s="8" t="inlineStr">
        <is>
          <t>STANDBY</t>
        </is>
      </c>
      <c r="G25084" s="8" t="n">
        <v>20</v>
      </c>
      <c r="H25084" s="8" t="inlineStr">
        <is>
          <t>OPERATING</t>
        </is>
      </c>
    </row>
    <row r="25085">
      <c r="A25085" s="8" t="inlineStr">
        <is>
          <t>2026-08-05</t>
        </is>
      </c>
      <c r="B25085" s="8" t="n">
        <v>14</v>
      </c>
      <c r="C25085" s="8" t="n">
        <v>31</v>
      </c>
      <c r="D25085" s="8" t="inlineStr">
        <is>
          <t>Disneyland Park</t>
        </is>
      </c>
      <c r="E25085" s="8" t="inlineStr">
        <is>
          <t>Frontierland Playground</t>
        </is>
      </c>
      <c r="F25085" s="8" t="inlineStr">
        <is>
          <t>STANDBY</t>
        </is>
      </c>
      <c r="G25085" s="8" t="n">
        <v>0</v>
      </c>
      <c r="H25085" s="8" t="inlineStr">
        <is>
          <t>OPERATING</t>
        </is>
      </c>
    </row>
    <row r="25086">
      <c r="A25086" s="8" t="inlineStr">
        <is>
          <t>2026-08-05</t>
        </is>
      </c>
      <c r="B25086" s="8" t="n">
        <v>14</v>
      </c>
      <c r="C25086" s="8" t="n">
        <v>31</v>
      </c>
      <c r="D25086" s="8" t="inlineStr">
        <is>
          <t>Disneyland Park</t>
        </is>
      </c>
      <c r="E25086" s="8" t="inlineStr">
        <is>
          <t>Phantom Manor</t>
        </is>
      </c>
      <c r="F25086" s="8" t="inlineStr">
        <is>
          <t>STANDBY</t>
        </is>
      </c>
      <c r="G25086" s="8" t="n">
        <v>20</v>
      </c>
      <c r="H25086" s="8" t="inlineStr">
        <is>
          <t>OPERATING</t>
        </is>
      </c>
    </row>
    <row r="25087">
      <c r="A25087" s="8" t="inlineStr">
        <is>
          <t>2026-08-05</t>
        </is>
      </c>
      <c r="B25087" s="8" t="n">
        <v>14</v>
      </c>
      <c r="C25087" s="8" t="n">
        <v>31</v>
      </c>
      <c r="D25087" s="8" t="inlineStr">
        <is>
          <t>Disneyland Park</t>
        </is>
      </c>
      <c r="E25087" s="8" t="inlineStr">
        <is>
          <t>River Rogue Keelboats</t>
        </is>
      </c>
      <c r="F25087" s="8" t="inlineStr">
        <is>
          <t>STANDBY</t>
        </is>
      </c>
      <c r="G25087" s="8" t="n">
        <v>0</v>
      </c>
      <c r="H25087" s="8" t="inlineStr">
        <is>
          <t>CLOSED</t>
        </is>
      </c>
    </row>
    <row r="25088">
      <c r="A25088" s="8" t="inlineStr">
        <is>
          <t>2026-08-05</t>
        </is>
      </c>
      <c r="B25088" s="8" t="n">
        <v>14</v>
      </c>
      <c r="C25088" s="8" t="n">
        <v>31</v>
      </c>
      <c r="D25088" s="8" t="inlineStr">
        <is>
          <t>Disneyland Park</t>
        </is>
      </c>
      <c r="E25088" s="8" t="inlineStr">
        <is>
          <t>Rustler Roundup Shootin' Gallery</t>
        </is>
      </c>
      <c r="F25088" s="8" t="inlineStr">
        <is>
          <t>STANDBY</t>
        </is>
      </c>
      <c r="G25088" s="8" t="n">
        <v>0</v>
      </c>
      <c r="H25088" s="8" t="inlineStr">
        <is>
          <t>OPERATING</t>
        </is>
      </c>
    </row>
    <row r="25089">
      <c r="A25089" s="8" t="inlineStr">
        <is>
          <t>2026-08-05</t>
        </is>
      </c>
      <c r="B25089" s="8" t="n">
        <v>14</v>
      </c>
      <c r="C25089" s="8" t="n">
        <v>31</v>
      </c>
      <c r="D25089" s="8" t="inlineStr">
        <is>
          <t>Disneyland Park</t>
        </is>
      </c>
      <c r="E25089" s="8" t="inlineStr">
        <is>
          <t>Thunder Mesa Riverboat Landing</t>
        </is>
      </c>
      <c r="F25089" s="8" t="inlineStr">
        <is>
          <t>STANDBY</t>
        </is>
      </c>
      <c r="G25089" s="8" t="n">
        <v>20</v>
      </c>
      <c r="H25089" s="8" t="inlineStr">
        <is>
          <t>OPERATING</t>
        </is>
      </c>
    </row>
    <row r="25090">
      <c r="A25090" s="8" t="inlineStr">
        <is>
          <t>2026-08-05</t>
        </is>
      </c>
      <c r="B25090" s="8" t="n">
        <v>14</v>
      </c>
      <c r="C25090" s="8" t="n">
        <v>31</v>
      </c>
      <c r="D25090" s="8" t="inlineStr">
        <is>
          <t>Disneyland Park</t>
        </is>
      </c>
      <c r="E25090" s="8" t="inlineStr">
        <is>
          <t>Disneyland Railroad Main Street Station</t>
        </is>
      </c>
      <c r="F25090" s="8" t="inlineStr">
        <is>
          <t>STANDBY</t>
        </is>
      </c>
      <c r="G25090" s="8" t="n">
        <v>0</v>
      </c>
      <c r="H25090" s="8" t="inlineStr">
        <is>
          <t>OPERATING</t>
        </is>
      </c>
    </row>
    <row r="25091">
      <c r="A25091" s="8" t="inlineStr">
        <is>
          <t>2026-08-05</t>
        </is>
      </c>
      <c r="B25091" s="8" t="n">
        <v>14</v>
      </c>
      <c r="C25091" s="8" t="n">
        <v>31</v>
      </c>
      <c r="D25091" s="8" t="inlineStr">
        <is>
          <t>Disneyland Park</t>
        </is>
      </c>
      <c r="E25091" s="8" t="inlineStr">
        <is>
          <t>Main Street Vehicles</t>
        </is>
      </c>
      <c r="F25091" s="8" t="inlineStr">
        <is>
          <t>STANDBY</t>
        </is>
      </c>
      <c r="G25091" s="8" t="n">
        <v>0</v>
      </c>
      <c r="H25091" s="8" t="inlineStr">
        <is>
          <t>CLOSED</t>
        </is>
      </c>
    </row>
    <row r="25092">
      <c r="A25092" s="8" t="inlineStr">
        <is>
          <t>2026-08-05</t>
        </is>
      </c>
      <c r="B25092" s="8" t="n">
        <v>14</v>
      </c>
      <c r="C25092" s="8" t="n">
        <v>31</v>
      </c>
      <c r="D25092" s="8" t="inlineStr">
        <is>
          <t>Disney Adventure World</t>
        </is>
      </c>
      <c r="E25092" s="8" t="inlineStr">
        <is>
          <t>Avengers Assemble: Flight Force</t>
        </is>
      </c>
      <c r="F25092" s="8" t="inlineStr">
        <is>
          <t>STANDBY</t>
        </is>
      </c>
      <c r="G25092" s="8" t="n">
        <v>35</v>
      </c>
      <c r="H25092" s="8" t="inlineStr">
        <is>
          <t>OPERATING</t>
        </is>
      </c>
    </row>
    <row r="25093">
      <c r="A25093" s="8" t="inlineStr">
        <is>
          <t>2026-08-05</t>
        </is>
      </c>
      <c r="B25093" s="8" t="n">
        <v>14</v>
      </c>
      <c r="C25093" s="8" t="n">
        <v>31</v>
      </c>
      <c r="D25093" s="8" t="inlineStr">
        <is>
          <t>Disney Adventure World</t>
        </is>
      </c>
      <c r="E25093" s="8" t="inlineStr">
        <is>
          <t>Avengers Assemble: Flight Force Single Rider</t>
        </is>
      </c>
      <c r="F25093" s="8" t="inlineStr">
        <is>
          <t>STANDBY</t>
        </is>
      </c>
      <c r="G25093" s="8" t="n">
        <v>25</v>
      </c>
      <c r="H25093" s="8" t="inlineStr">
        <is>
          <t>OPERATING</t>
        </is>
      </c>
    </row>
    <row r="25094">
      <c r="A25094" s="8" t="inlineStr">
        <is>
          <t>2026-08-05</t>
        </is>
      </c>
      <c r="B25094" s="8" t="n">
        <v>14</v>
      </c>
      <c r="C25094" s="8" t="n">
        <v>31</v>
      </c>
      <c r="D25094" s="8" t="inlineStr">
        <is>
          <t>Disney Adventure World</t>
        </is>
      </c>
      <c r="E25094" s="8" t="inlineStr">
        <is>
          <t>Spider-Man W.E.B. Adventure</t>
        </is>
      </c>
      <c r="F25094" s="8" t="inlineStr">
        <is>
          <t>STANDBY</t>
        </is>
      </c>
      <c r="G25094" s="8" t="n">
        <v>45</v>
      </c>
      <c r="H25094" s="8" t="inlineStr">
        <is>
          <t>OPERATING</t>
        </is>
      </c>
    </row>
    <row r="25095">
      <c r="A25095" s="8" t="inlineStr">
        <is>
          <t>2026-08-05</t>
        </is>
      </c>
      <c r="B25095" s="8" t="n">
        <v>14</v>
      </c>
      <c r="C25095" s="8" t="n">
        <v>31</v>
      </c>
      <c r="D25095" s="8" t="inlineStr">
        <is>
          <t>Disney Adventure World</t>
        </is>
      </c>
      <c r="E25095" s="8" t="inlineStr">
        <is>
          <t>Spider-Man W.E.B. Adventure Single Rider</t>
        </is>
      </c>
      <c r="F25095" s="8" t="inlineStr">
        <is>
          <t>STANDBY</t>
        </is>
      </c>
      <c r="G25095" s="8" t="n">
        <v>25</v>
      </c>
      <c r="H25095" s="8" t="inlineStr">
        <is>
          <t>OPERATING</t>
        </is>
      </c>
    </row>
    <row r="25096">
      <c r="A25096" s="8" t="inlineStr">
        <is>
          <t>2026-08-05</t>
        </is>
      </c>
      <c r="B25096" s="8" t="n">
        <v>14</v>
      </c>
      <c r="C25096" s="8" t="n">
        <v>31</v>
      </c>
      <c r="D25096" s="8" t="inlineStr">
        <is>
          <t>Disney Adventure World</t>
        </is>
      </c>
      <c r="E25096" s="8" t="inlineStr">
        <is>
          <t>The Twilight Zone Tower of Terror</t>
        </is>
      </c>
      <c r="F25096" s="8" t="inlineStr">
        <is>
          <t>STANDBY</t>
        </is>
      </c>
      <c r="G25096" s="8" t="n">
        <v>70</v>
      </c>
      <c r="H25096" s="8" t="inlineStr">
        <is>
          <t>OPERATING</t>
        </is>
      </c>
    </row>
    <row r="25097">
      <c r="A25097" s="8" t="inlineStr">
        <is>
          <t>2026-08-05</t>
        </is>
      </c>
      <c r="B25097" s="8" t="n">
        <v>14</v>
      </c>
      <c r="C25097" s="8" t="n">
        <v>31</v>
      </c>
      <c r="D25097" s="8" t="inlineStr">
        <is>
          <t>Disney Adventure World</t>
        </is>
      </c>
      <c r="E25097" s="8" t="inlineStr">
        <is>
          <t>Cars Quatre Roues Rallye</t>
        </is>
      </c>
      <c r="F25097" s="8" t="inlineStr">
        <is>
          <t>STANDBY</t>
        </is>
      </c>
      <c r="G25097" s="8" t="n">
        <v>20</v>
      </c>
      <c r="H25097" s="8" t="inlineStr">
        <is>
          <t>OPERATING</t>
        </is>
      </c>
    </row>
    <row r="25098">
      <c r="A25098" s="8" t="inlineStr">
        <is>
          <t>2026-08-05</t>
        </is>
      </c>
      <c r="B25098" s="8" t="n">
        <v>14</v>
      </c>
      <c r="C25098" s="8" t="n">
        <v>31</v>
      </c>
      <c r="D25098" s="8" t="inlineStr">
        <is>
          <t>Disney Adventure World</t>
        </is>
      </c>
      <c r="E25098" s="8" t="inlineStr">
        <is>
          <t>Cars ROAD TRIP</t>
        </is>
      </c>
      <c r="F25098" s="8" t="inlineStr">
        <is>
          <t>STANDBY</t>
        </is>
      </c>
      <c r="G25098" s="8" t="n">
        <v>15</v>
      </c>
      <c r="H25098" s="8" t="inlineStr">
        <is>
          <t>OPERATING</t>
        </is>
      </c>
    </row>
    <row r="25099">
      <c r="A25099" s="8" t="inlineStr">
        <is>
          <t>2026-08-05</t>
        </is>
      </c>
      <c r="B25099" s="8" t="n">
        <v>14</v>
      </c>
      <c r="C25099" s="8" t="n">
        <v>31</v>
      </c>
      <c r="D25099" s="8" t="inlineStr">
        <is>
          <t>Disney Adventure World</t>
        </is>
      </c>
      <c r="E25099" s="8" t="inlineStr">
        <is>
          <t>Crush's Coaster</t>
        </is>
      </c>
      <c r="F25099" s="8" t="inlineStr">
        <is>
          <t>STANDBY</t>
        </is>
      </c>
      <c r="G25099" s="8" t="n">
        <v>70</v>
      </c>
      <c r="H25099" s="8" t="inlineStr">
        <is>
          <t>OPERATING</t>
        </is>
      </c>
    </row>
    <row r="25100">
      <c r="A25100" s="8" t="inlineStr">
        <is>
          <t>2026-08-05</t>
        </is>
      </c>
      <c r="B25100" s="8" t="n">
        <v>14</v>
      </c>
      <c r="C25100" s="8" t="n">
        <v>31</v>
      </c>
      <c r="D25100" s="8" t="inlineStr">
        <is>
          <t>Disney Adventure World</t>
        </is>
      </c>
      <c r="E25100" s="8" t="inlineStr">
        <is>
          <t>Crush's Coaster Single Rider</t>
        </is>
      </c>
      <c r="F25100" s="8" t="inlineStr">
        <is>
          <t>STANDBY</t>
        </is>
      </c>
      <c r="G25100" s="8" t="n">
        <v>45</v>
      </c>
      <c r="H25100" s="8" t="inlineStr">
        <is>
          <t>OPERATING</t>
        </is>
      </c>
    </row>
    <row r="25101">
      <c r="A25101" s="8" t="inlineStr">
        <is>
          <t>2026-08-05</t>
        </is>
      </c>
      <c r="B25101" s="8" t="n">
        <v>14</v>
      </c>
      <c r="C25101" s="8" t="n">
        <v>31</v>
      </c>
      <c r="D25101" s="8" t="inlineStr">
        <is>
          <t>Disney Adventure World</t>
        </is>
      </c>
      <c r="E25101" s="8" t="inlineStr">
        <is>
          <t>Les Tapis Volants - Flying Carpets Over Agrabah®</t>
        </is>
      </c>
      <c r="F25101" s="8" t="inlineStr">
        <is>
          <t>STANDBY</t>
        </is>
      </c>
      <c r="G25101" s="8" t="n">
        <v>25</v>
      </c>
      <c r="H25101" s="8" t="inlineStr">
        <is>
          <t>OPERATING</t>
        </is>
      </c>
    </row>
    <row r="25102">
      <c r="A25102" s="8" t="inlineStr">
        <is>
          <t>2026-08-05</t>
        </is>
      </c>
      <c r="B25102" s="8" t="n">
        <v>14</v>
      </c>
      <c r="C25102" s="8" t="n">
        <v>31</v>
      </c>
      <c r="D25102" s="8" t="inlineStr">
        <is>
          <t>Disney Adventure World</t>
        </is>
      </c>
      <c r="E25102" s="8" t="inlineStr">
        <is>
          <t>Ratatouille : L’Aventure Totalement Toquée de Rémy​</t>
        </is>
      </c>
      <c r="F25102" s="8" t="inlineStr">
        <is>
          <t>STANDBY</t>
        </is>
      </c>
      <c r="G25102" s="8" t="n">
        <v>70</v>
      </c>
      <c r="H25102" s="8" t="inlineStr">
        <is>
          <t>OPERATING</t>
        </is>
      </c>
    </row>
    <row r="25103">
      <c r="A25103" s="8" t="inlineStr">
        <is>
          <t>2026-08-05</t>
        </is>
      </c>
      <c r="B25103" s="8" t="n">
        <v>14</v>
      </c>
      <c r="C25103" s="8" t="n">
        <v>31</v>
      </c>
      <c r="D25103" s="8" t="inlineStr">
        <is>
          <t>Disney Adventure World</t>
        </is>
      </c>
      <c r="E25103" s="8" t="inlineStr">
        <is>
          <t>Ratatouille: The Adventure Single Rider</t>
        </is>
      </c>
      <c r="F25103" s="8" t="inlineStr">
        <is>
          <t>STANDBY</t>
        </is>
      </c>
      <c r="G25103" s="8" t="n">
        <v>30</v>
      </c>
      <c r="H25103" s="8" t="inlineStr">
        <is>
          <t>OPERATING</t>
        </is>
      </c>
    </row>
    <row r="25104">
      <c r="A25104" s="8" t="inlineStr">
        <is>
          <t>2026-08-05</t>
        </is>
      </c>
      <c r="B25104" s="8" t="n">
        <v>14</v>
      </c>
      <c r="C25104" s="8" t="n">
        <v>31</v>
      </c>
      <c r="D25104" s="8" t="inlineStr">
        <is>
          <t>Disney Adventure World</t>
        </is>
      </c>
      <c r="E25104" s="8" t="inlineStr">
        <is>
          <t>RC Racer</t>
        </is>
      </c>
      <c r="F25104" s="8" t="inlineStr">
        <is>
          <t>STANDBY</t>
        </is>
      </c>
      <c r="G25104" s="8" t="n">
        <v>50</v>
      </c>
      <c r="H25104" s="8" t="inlineStr">
        <is>
          <t>OPERATING</t>
        </is>
      </c>
    </row>
    <row r="25105">
      <c r="A25105" s="8" t="inlineStr">
        <is>
          <t>2026-08-05</t>
        </is>
      </c>
      <c r="B25105" s="8" t="n">
        <v>14</v>
      </c>
      <c r="C25105" s="8" t="n">
        <v>31</v>
      </c>
      <c r="D25105" s="8" t="inlineStr">
        <is>
          <t>Disney Adventure World</t>
        </is>
      </c>
      <c r="E25105" s="8" t="inlineStr">
        <is>
          <t>RC Racer Single Rider</t>
        </is>
      </c>
      <c r="F25105" s="8" t="inlineStr">
        <is>
          <t>STANDBY</t>
        </is>
      </c>
      <c r="G25105" s="8" t="n">
        <v>45</v>
      </c>
      <c r="H25105" s="8" t="inlineStr">
        <is>
          <t>OPERATING</t>
        </is>
      </c>
    </row>
    <row r="25106">
      <c r="A25106" s="8" t="inlineStr">
        <is>
          <t>2026-08-05</t>
        </is>
      </c>
      <c r="B25106" s="8" t="n">
        <v>14</v>
      </c>
      <c r="C25106" s="8" t="n">
        <v>31</v>
      </c>
      <c r="D25106" s="8" t="inlineStr">
        <is>
          <t>Disney Adventure World</t>
        </is>
      </c>
      <c r="E25106" s="8" t="inlineStr">
        <is>
          <t>Slinky® Dog Zigzag Spin</t>
        </is>
      </c>
      <c r="F25106" s="8" t="inlineStr">
        <is>
          <t>STANDBY</t>
        </is>
      </c>
      <c r="G25106" s="8" t="n">
        <v>35</v>
      </c>
      <c r="H25106" s="8" t="inlineStr">
        <is>
          <t>OPERATING</t>
        </is>
      </c>
    </row>
    <row r="25107">
      <c r="A25107" s="8" t="inlineStr">
        <is>
          <t>2026-08-05</t>
        </is>
      </c>
      <c r="B25107" s="8" t="n">
        <v>14</v>
      </c>
      <c r="C25107" s="8" t="n">
        <v>31</v>
      </c>
      <c r="D25107" s="8" t="inlineStr">
        <is>
          <t>Disney Adventure World</t>
        </is>
      </c>
      <c r="E25107" s="8" t="inlineStr">
        <is>
          <t>Toy Soldiers Parachute Drop</t>
        </is>
      </c>
      <c r="F25107" s="8" t="inlineStr">
        <is>
          <t>STANDBY</t>
        </is>
      </c>
      <c r="G25107" s="8" t="n">
        <v>55</v>
      </c>
      <c r="H25107" s="8" t="inlineStr">
        <is>
          <t>OPERATING</t>
        </is>
      </c>
    </row>
    <row r="25108">
      <c r="A25108" s="8" t="inlineStr">
        <is>
          <t>2026-08-05</t>
        </is>
      </c>
      <c r="B25108" s="8" t="n">
        <v>14</v>
      </c>
      <c r="C25108" s="8" t="n">
        <v>31</v>
      </c>
      <c r="D25108" s="8" t="inlineStr">
        <is>
          <t>Disney Adventure World</t>
        </is>
      </c>
      <c r="E25108" s="8" t="inlineStr">
        <is>
          <t>Toy Soldiers Parachute Drop Single Rider</t>
        </is>
      </c>
      <c r="F25108" s="8" t="inlineStr">
        <is>
          <t>STANDBY</t>
        </is>
      </c>
      <c r="G25108" s="8" t="n">
        <v>20</v>
      </c>
      <c r="H25108" s="8" t="inlineStr">
        <is>
          <t>OPERATING</t>
        </is>
      </c>
    </row>
    <row r="25109">
      <c r="A25109" s="8" t="inlineStr">
        <is>
          <t>2026-08-05</t>
        </is>
      </c>
      <c r="B25109" s="8" t="n">
        <v>14</v>
      </c>
      <c r="C25109" s="8" t="n">
        <v>31</v>
      </c>
      <c r="D25109" s="8" t="inlineStr">
        <is>
          <t>Disney Adventure World</t>
        </is>
      </c>
      <c r="E25109" s="8" t="inlineStr">
        <is>
          <t>Entry to World of Frozen</t>
        </is>
      </c>
      <c r="F25109" s="8" t="inlineStr">
        <is>
          <t>STANDBY</t>
        </is>
      </c>
      <c r="G25109" s="8" t="n">
        <v>0</v>
      </c>
      <c r="H25109" s="8" t="inlineStr">
        <is>
          <t>OPERATING</t>
        </is>
      </c>
    </row>
    <row r="25110">
      <c r="A25110" s="8" t="inlineStr">
        <is>
          <t>2026-08-05</t>
        </is>
      </c>
      <c r="B25110" s="8" t="n">
        <v>14</v>
      </c>
      <c r="C25110" s="8" t="n">
        <v>31</v>
      </c>
      <c r="D25110" s="8" t="inlineStr">
        <is>
          <t>Disney Adventure World</t>
        </is>
      </c>
      <c r="E25110" s="8" t="inlineStr">
        <is>
          <t>Frozen Ever After</t>
        </is>
      </c>
      <c r="F25110" s="8" t="inlineStr">
        <is>
          <t>STANDBY</t>
        </is>
      </c>
      <c r="G25110" s="8" t="n">
        <v>50</v>
      </c>
      <c r="H25110" s="8" t="inlineStr">
        <is>
          <t>OPERATING</t>
        </is>
      </c>
    </row>
    <row r="25111">
      <c r="A25111" s="8" t="inlineStr">
        <is>
          <t>2026-08-05</t>
        </is>
      </c>
      <c r="B25111" s="8" t="n">
        <v>14</v>
      </c>
      <c r="C25111" s="8" t="n">
        <v>31</v>
      </c>
      <c r="D25111" s="8" t="inlineStr">
        <is>
          <t>Disney Adventure World</t>
        </is>
      </c>
      <c r="E25111" s="8" t="inlineStr">
        <is>
          <t>Raiponce Tangled Spin</t>
        </is>
      </c>
      <c r="F25111" s="8" t="inlineStr">
        <is>
          <t>STANDBY</t>
        </is>
      </c>
      <c r="G25111" s="8" t="n">
        <v>15</v>
      </c>
      <c r="H25111" s="8" t="inlineStr">
        <is>
          <t>OPERATING</t>
        </is>
      </c>
    </row>
    <row r="25112">
      <c r="A25112" s="8" t="inlineStr">
        <is>
          <t>2026-08-05</t>
        </is>
      </c>
      <c r="B25112" s="8" t="n">
        <v>14</v>
      </c>
      <c r="C25112" s="8" t="n">
        <v>45</v>
      </c>
      <c r="D25112" s="8" t="inlineStr">
        <is>
          <t>Disneyland Park</t>
        </is>
      </c>
      <c r="E25112" s="8" t="inlineStr">
        <is>
          <t>Adventure Isle</t>
        </is>
      </c>
      <c r="F25112" s="8" t="inlineStr">
        <is>
          <t>STANDBY</t>
        </is>
      </c>
      <c r="G25112" s="8" t="n">
        <v>0</v>
      </c>
      <c r="H25112" s="8" t="inlineStr">
        <is>
          <t>OPERATING</t>
        </is>
      </c>
    </row>
    <row r="25113">
      <c r="A25113" s="8" t="inlineStr">
        <is>
          <t>2026-08-05</t>
        </is>
      </c>
      <c r="B25113" s="8" t="n">
        <v>14</v>
      </c>
      <c r="C25113" s="8" t="n">
        <v>45</v>
      </c>
      <c r="D25113" s="8" t="inlineStr">
        <is>
          <t>Disneyland Park</t>
        </is>
      </c>
      <c r="E25113" s="8" t="inlineStr">
        <is>
          <t>Indiana Jones and the Temple of Peril Single Rider</t>
        </is>
      </c>
      <c r="F25113" s="8" t="inlineStr">
        <is>
          <t>STANDBY</t>
        </is>
      </c>
      <c r="G25113" s="8" t="n">
        <v>20</v>
      </c>
      <c r="H25113" s="8" t="inlineStr">
        <is>
          <t>OPERATING</t>
        </is>
      </c>
    </row>
    <row r="25114">
      <c r="A25114" s="8" t="inlineStr">
        <is>
          <t>2026-08-05</t>
        </is>
      </c>
      <c r="B25114" s="8" t="n">
        <v>14</v>
      </c>
      <c r="C25114" s="8" t="n">
        <v>45</v>
      </c>
      <c r="D25114" s="8" t="inlineStr">
        <is>
          <t>Disneyland Park</t>
        </is>
      </c>
      <c r="E25114" s="8" t="inlineStr">
        <is>
          <t>Indiana Jones™ and the Temple of Peril</t>
        </is>
      </c>
      <c r="F25114" s="8" t="inlineStr">
        <is>
          <t>STANDBY</t>
        </is>
      </c>
      <c r="G25114" s="8" t="n">
        <v>40</v>
      </c>
      <c r="H25114" s="8" t="inlineStr">
        <is>
          <t>OPERATING</t>
        </is>
      </c>
    </row>
    <row r="25115">
      <c r="A25115" s="8" t="inlineStr">
        <is>
          <t>2026-08-05</t>
        </is>
      </c>
      <c r="B25115" s="8" t="n">
        <v>14</v>
      </c>
      <c r="C25115" s="8" t="n">
        <v>45</v>
      </c>
      <c r="D25115" s="8" t="inlineStr">
        <is>
          <t>Disneyland Park</t>
        </is>
      </c>
      <c r="E25115" s="8" t="inlineStr">
        <is>
          <t>La Cabane des Robinson</t>
        </is>
      </c>
      <c r="F25115" s="8" t="inlineStr">
        <is>
          <t>STANDBY</t>
        </is>
      </c>
      <c r="G25115" s="8" t="n">
        <v>5</v>
      </c>
      <c r="H25115" s="8" t="inlineStr">
        <is>
          <t>OPERATING</t>
        </is>
      </c>
    </row>
    <row r="25116">
      <c r="A25116" s="8" t="inlineStr">
        <is>
          <t>2026-08-05</t>
        </is>
      </c>
      <c r="B25116" s="8" t="n">
        <v>14</v>
      </c>
      <c r="C25116" s="8" t="n">
        <v>45</v>
      </c>
      <c r="D25116" s="8" t="inlineStr">
        <is>
          <t>Disneyland Park</t>
        </is>
      </c>
      <c r="E25116" s="8" t="inlineStr">
        <is>
          <t>Le Passage Enchanté d'Aladdin</t>
        </is>
      </c>
      <c r="F25116" s="8" t="inlineStr">
        <is>
          <t>STANDBY</t>
        </is>
      </c>
      <c r="G25116" s="8" t="n">
        <v>0</v>
      </c>
      <c r="H25116" s="8" t="inlineStr">
        <is>
          <t>OPERATING</t>
        </is>
      </c>
    </row>
    <row r="25117">
      <c r="A25117" s="8" t="inlineStr">
        <is>
          <t>2026-08-05</t>
        </is>
      </c>
      <c r="B25117" s="8" t="n">
        <v>14</v>
      </c>
      <c r="C25117" s="8" t="n">
        <v>45</v>
      </c>
      <c r="D25117" s="8" t="inlineStr">
        <is>
          <t>Disneyland Park</t>
        </is>
      </c>
      <c r="E25117" s="8" t="inlineStr">
        <is>
          <t>Pirate Galleon</t>
        </is>
      </c>
      <c r="F25117" s="8" t="inlineStr">
        <is>
          <t>STANDBY</t>
        </is>
      </c>
      <c r="G25117" s="8" t="n">
        <v>0</v>
      </c>
      <c r="H25117" s="8" t="inlineStr">
        <is>
          <t>CLOSED</t>
        </is>
      </c>
    </row>
    <row r="25118">
      <c r="A25118" s="8" t="inlineStr">
        <is>
          <t>2026-08-05</t>
        </is>
      </c>
      <c r="B25118" s="8" t="n">
        <v>14</v>
      </c>
      <c r="C25118" s="8" t="n">
        <v>45</v>
      </c>
      <c r="D25118" s="8" t="inlineStr">
        <is>
          <t>Disneyland Park</t>
        </is>
      </c>
      <c r="E25118" s="8" t="inlineStr">
        <is>
          <t>Pirates of the Caribbean</t>
        </is>
      </c>
      <c r="F25118" s="8" t="inlineStr">
        <is>
          <t>STANDBY</t>
        </is>
      </c>
      <c r="G25118" s="8" t="n">
        <v>45</v>
      </c>
      <c r="H25118" s="8" t="inlineStr">
        <is>
          <t>OPERATING</t>
        </is>
      </c>
    </row>
    <row r="25119">
      <c r="A25119" s="8" t="inlineStr">
        <is>
          <t>2026-08-05</t>
        </is>
      </c>
      <c r="B25119" s="8" t="n">
        <v>14</v>
      </c>
      <c r="C25119" s="8" t="n">
        <v>45</v>
      </c>
      <c r="D25119" s="8" t="inlineStr">
        <is>
          <t>Disneyland Park</t>
        </is>
      </c>
      <c r="E25119" s="8" t="inlineStr">
        <is>
          <t>Pirates' Beach</t>
        </is>
      </c>
      <c r="F25119" s="8" t="inlineStr">
        <is>
          <t>STANDBY</t>
        </is>
      </c>
      <c r="G25119" s="8" t="n">
        <v>0</v>
      </c>
      <c r="H25119" s="8" t="inlineStr">
        <is>
          <t>OPERATING</t>
        </is>
      </c>
    </row>
    <row r="25120">
      <c r="A25120" s="8" t="inlineStr">
        <is>
          <t>2026-08-05</t>
        </is>
      </c>
      <c r="B25120" s="8" t="n">
        <v>14</v>
      </c>
      <c r="C25120" s="8" t="n">
        <v>45</v>
      </c>
      <c r="D25120" s="8" t="inlineStr">
        <is>
          <t>Disneyland Park</t>
        </is>
      </c>
      <c r="E25120" s="8" t="inlineStr">
        <is>
          <t>Autopia, presented by Avis</t>
        </is>
      </c>
      <c r="F25120" s="8" t="inlineStr">
        <is>
          <t>STANDBY</t>
        </is>
      </c>
      <c r="G25120" s="8" t="n">
        <v>45</v>
      </c>
      <c r="H25120" s="8" t="inlineStr">
        <is>
          <t>OPERATING</t>
        </is>
      </c>
    </row>
    <row r="25121">
      <c r="A25121" s="8" t="inlineStr">
        <is>
          <t>2026-08-05</t>
        </is>
      </c>
      <c r="B25121" s="8" t="n">
        <v>14</v>
      </c>
      <c r="C25121" s="8" t="n">
        <v>45</v>
      </c>
      <c r="D25121" s="8" t="inlineStr">
        <is>
          <t>Disneyland Park</t>
        </is>
      </c>
      <c r="E25121" s="8" t="inlineStr">
        <is>
          <t>Buzz Lightyear Laser Blast</t>
        </is>
      </c>
      <c r="F25121" s="8" t="inlineStr">
        <is>
          <t>STANDBY</t>
        </is>
      </c>
      <c r="G25121" s="8" t="n">
        <v>35</v>
      </c>
      <c r="H25121" s="8" t="inlineStr">
        <is>
          <t>OPERATING</t>
        </is>
      </c>
    </row>
    <row r="25122">
      <c r="A25122" s="8" t="inlineStr">
        <is>
          <t>2026-08-05</t>
        </is>
      </c>
      <c r="B25122" s="8" t="n">
        <v>14</v>
      </c>
      <c r="C25122" s="8" t="n">
        <v>45</v>
      </c>
      <c r="D25122" s="8" t="inlineStr">
        <is>
          <t>Disneyland Park</t>
        </is>
      </c>
      <c r="E25122" s="8" t="inlineStr">
        <is>
          <t>Disneyland Railroad Discoveryland Station</t>
        </is>
      </c>
      <c r="F25122" s="8" t="inlineStr">
        <is>
          <t>STANDBY</t>
        </is>
      </c>
      <c r="G25122" s="8" t="n">
        <v>0</v>
      </c>
      <c r="H25122" s="8" t="inlineStr">
        <is>
          <t>CLOSED</t>
        </is>
      </c>
    </row>
    <row r="25123">
      <c r="A25123" s="8" t="inlineStr">
        <is>
          <t>2026-08-05</t>
        </is>
      </c>
      <c r="B25123" s="8" t="n">
        <v>14</v>
      </c>
      <c r="C25123" s="8" t="n">
        <v>45</v>
      </c>
      <c r="D25123" s="8" t="inlineStr">
        <is>
          <t>Disneyland Park</t>
        </is>
      </c>
      <c r="E25123" s="8" t="inlineStr">
        <is>
          <t>Les Mystères du Nautilus</t>
        </is>
      </c>
      <c r="F25123" s="8" t="inlineStr">
        <is>
          <t>STANDBY</t>
        </is>
      </c>
      <c r="G25123" s="8" t="n">
        <v>5</v>
      </c>
      <c r="H25123" s="8" t="inlineStr">
        <is>
          <t>OPERATING</t>
        </is>
      </c>
    </row>
    <row r="25124">
      <c r="A25124" s="8" t="inlineStr">
        <is>
          <t>2026-08-05</t>
        </is>
      </c>
      <c r="B25124" s="8" t="n">
        <v>14</v>
      </c>
      <c r="C25124" s="8" t="n">
        <v>45</v>
      </c>
      <c r="D25124" s="8" t="inlineStr">
        <is>
          <t>Disneyland Park</t>
        </is>
      </c>
      <c r="E25124" s="8" t="inlineStr">
        <is>
          <t>Mickey’s PhilharMagic</t>
        </is>
      </c>
      <c r="F25124" s="8" t="inlineStr">
        <is>
          <t>STANDBY</t>
        </is>
      </c>
      <c r="G25124" s="8" t="n">
        <v>0</v>
      </c>
      <c r="H25124" s="8" t="inlineStr">
        <is>
          <t>OPERATING</t>
        </is>
      </c>
    </row>
    <row r="25125">
      <c r="A25125" s="8" t="inlineStr">
        <is>
          <t>2026-08-05</t>
        </is>
      </c>
      <c r="B25125" s="8" t="n">
        <v>14</v>
      </c>
      <c r="C25125" s="8" t="n">
        <v>45</v>
      </c>
      <c r="D25125" s="8" t="inlineStr">
        <is>
          <t>Disneyland Park</t>
        </is>
      </c>
      <c r="E25125" s="8" t="inlineStr">
        <is>
          <t>Orbitron®</t>
        </is>
      </c>
      <c r="F25125" s="8" t="inlineStr">
        <is>
          <t>STANDBY</t>
        </is>
      </c>
      <c r="G25125" s="8" t="n">
        <v>60</v>
      </c>
      <c r="H25125" s="8" t="inlineStr">
        <is>
          <t>OPERATING</t>
        </is>
      </c>
    </row>
    <row r="25126">
      <c r="A25126" s="8" t="inlineStr">
        <is>
          <t>2026-08-05</t>
        </is>
      </c>
      <c r="B25126" s="8" t="n">
        <v>14</v>
      </c>
      <c r="C25126" s="8" t="n">
        <v>45</v>
      </c>
      <c r="D25126" s="8" t="inlineStr">
        <is>
          <t>Disneyland Park</t>
        </is>
      </c>
      <c r="E25126" s="8" t="inlineStr">
        <is>
          <t>Star Tours: The Adventures Continue*</t>
        </is>
      </c>
      <c r="F25126" s="8" t="inlineStr">
        <is>
          <t>STANDBY</t>
        </is>
      </c>
      <c r="G25126" s="8" t="n">
        <v>30</v>
      </c>
      <c r="H25126" s="8" t="inlineStr">
        <is>
          <t>OPERATING</t>
        </is>
      </c>
    </row>
    <row r="25127">
      <c r="A25127" s="8" t="inlineStr">
        <is>
          <t>2026-08-05</t>
        </is>
      </c>
      <c r="B25127" s="8" t="n">
        <v>14</v>
      </c>
      <c r="C25127" s="8" t="n">
        <v>45</v>
      </c>
      <c r="D25127" s="8" t="inlineStr">
        <is>
          <t>Disneyland Park</t>
        </is>
      </c>
      <c r="E25127" s="8" t="inlineStr">
        <is>
          <t>Star Wars Hyperspace Mountain</t>
        </is>
      </c>
      <c r="F25127" s="8" t="inlineStr">
        <is>
          <t>STANDBY</t>
        </is>
      </c>
      <c r="G25127" s="8" t="n">
        <v>45</v>
      </c>
      <c r="H25127" s="8" t="inlineStr">
        <is>
          <t>OPERATING</t>
        </is>
      </c>
    </row>
    <row r="25128">
      <c r="A25128" s="8" t="inlineStr">
        <is>
          <t>2026-08-05</t>
        </is>
      </c>
      <c r="B25128" s="8" t="n">
        <v>14</v>
      </c>
      <c r="C25128" s="8" t="n">
        <v>45</v>
      </c>
      <c r="D25128" s="8" t="inlineStr">
        <is>
          <t>Disneyland Park</t>
        </is>
      </c>
      <c r="E25128" s="8" t="inlineStr">
        <is>
          <t>Star Wars Hyperspace Mountain Single Rider</t>
        </is>
      </c>
      <c r="F25128" s="8" t="inlineStr">
        <is>
          <t>STANDBY</t>
        </is>
      </c>
      <c r="G25128" s="8" t="n">
        <v>30</v>
      </c>
      <c r="H25128" s="8" t="inlineStr">
        <is>
          <t>OPERATING</t>
        </is>
      </c>
    </row>
    <row r="25129">
      <c r="A25129" s="8" t="inlineStr">
        <is>
          <t>2026-08-05</t>
        </is>
      </c>
      <c r="B25129" s="8" t="n">
        <v>14</v>
      </c>
      <c r="C25129" s="8" t="n">
        <v>45</v>
      </c>
      <c r="D25129" s="8" t="inlineStr">
        <is>
          <t>Disneyland Park</t>
        </is>
      </c>
      <c r="E25129" s="8" t="inlineStr">
        <is>
          <t>Welcome to Starport: A Star Wars Encounter</t>
        </is>
      </c>
      <c r="F25129" s="8" t="inlineStr">
        <is>
          <t>STANDBY</t>
        </is>
      </c>
      <c r="G25129" s="8" t="n">
        <v>40</v>
      </c>
      <c r="H25129" s="8" t="inlineStr">
        <is>
          <t>OPERATING</t>
        </is>
      </c>
    </row>
    <row r="25130">
      <c r="A25130" s="8" t="inlineStr">
        <is>
          <t>2026-08-05</t>
        </is>
      </c>
      <c r="B25130" s="8" t="n">
        <v>14</v>
      </c>
      <c r="C25130" s="8" t="n">
        <v>45</v>
      </c>
      <c r="D25130" s="8" t="inlineStr">
        <is>
          <t>Disneyland Park</t>
        </is>
      </c>
      <c r="E25130" s="8" t="inlineStr">
        <is>
          <t>"it's a small world"</t>
        </is>
      </c>
      <c r="F25130" s="8" t="inlineStr">
        <is>
          <t>STANDBY</t>
        </is>
      </c>
      <c r="G25130" s="8" t="n">
        <v>10</v>
      </c>
      <c r="H25130" s="8" t="inlineStr">
        <is>
          <t>OPERATING</t>
        </is>
      </c>
    </row>
    <row r="25131">
      <c r="A25131" s="8" t="inlineStr">
        <is>
          <t>2026-08-05</t>
        </is>
      </c>
      <c r="B25131" s="8" t="n">
        <v>14</v>
      </c>
      <c r="C25131" s="8" t="n">
        <v>45</v>
      </c>
      <c r="D25131" s="8" t="inlineStr">
        <is>
          <t>Disneyland Park</t>
        </is>
      </c>
      <c r="E25131" s="8" t="inlineStr">
        <is>
          <t>Alice's Curious Labyrinth</t>
        </is>
      </c>
      <c r="F25131" s="8" t="inlineStr">
        <is>
          <t>STANDBY</t>
        </is>
      </c>
      <c r="G25131" s="8" t="n">
        <v>5</v>
      </c>
      <c r="H25131" s="8" t="inlineStr">
        <is>
          <t>OPERATING</t>
        </is>
      </c>
    </row>
    <row r="25132">
      <c r="A25132" s="8" t="inlineStr">
        <is>
          <t>2026-08-05</t>
        </is>
      </c>
      <c r="B25132" s="8" t="n">
        <v>14</v>
      </c>
      <c r="C25132" s="8" t="n">
        <v>45</v>
      </c>
      <c r="D25132" s="8" t="inlineStr">
        <is>
          <t>Disneyland Park</t>
        </is>
      </c>
      <c r="E25132" s="8" t="inlineStr">
        <is>
          <t>Blanche-Neige et les Sept Nains®</t>
        </is>
      </c>
      <c r="F25132" s="8" t="inlineStr">
        <is>
          <t>STANDBY</t>
        </is>
      </c>
      <c r="G25132" s="8" t="n">
        <v>0</v>
      </c>
      <c r="H25132" s="8" t="inlineStr">
        <is>
          <t>CLOSED</t>
        </is>
      </c>
    </row>
    <row r="25133">
      <c r="A25133" s="8" t="inlineStr">
        <is>
          <t>2026-08-05</t>
        </is>
      </c>
      <c r="B25133" s="8" t="n">
        <v>14</v>
      </c>
      <c r="C25133" s="8" t="n">
        <v>45</v>
      </c>
      <c r="D25133" s="8" t="inlineStr">
        <is>
          <t>Disneyland Park</t>
        </is>
      </c>
      <c r="E25133" s="8" t="inlineStr">
        <is>
          <t>Casey Jr. – le Petit Train du Cirque</t>
        </is>
      </c>
      <c r="F25133" s="8" t="inlineStr">
        <is>
          <t>STANDBY</t>
        </is>
      </c>
      <c r="G25133" s="8" t="n">
        <v>20</v>
      </c>
      <c r="H25133" s="8" t="inlineStr">
        <is>
          <t>OPERATING</t>
        </is>
      </c>
    </row>
    <row r="25134">
      <c r="A25134" s="8" t="inlineStr">
        <is>
          <t>2026-08-05</t>
        </is>
      </c>
      <c r="B25134" s="8" t="n">
        <v>14</v>
      </c>
      <c r="C25134" s="8" t="n">
        <v>45</v>
      </c>
      <c r="D25134" s="8" t="inlineStr">
        <is>
          <t>Disneyland Park</t>
        </is>
      </c>
      <c r="E25134" s="8" t="inlineStr">
        <is>
          <t>Disneyland Railroad Fantasyland Station</t>
        </is>
      </c>
      <c r="F25134" s="8" t="inlineStr">
        <is>
          <t>STANDBY</t>
        </is>
      </c>
      <c r="G25134" s="8" t="n">
        <v>0</v>
      </c>
      <c r="H25134" s="8" t="inlineStr">
        <is>
          <t>CLOSED</t>
        </is>
      </c>
    </row>
    <row r="25135">
      <c r="A25135" s="8" t="inlineStr">
        <is>
          <t>2026-08-05</t>
        </is>
      </c>
      <c r="B25135" s="8" t="n">
        <v>14</v>
      </c>
      <c r="C25135" s="8" t="n">
        <v>45</v>
      </c>
      <c r="D25135" s="8" t="inlineStr">
        <is>
          <t>Disneyland Park</t>
        </is>
      </c>
      <c r="E25135" s="8" t="inlineStr">
        <is>
          <t>Disneyland Railroad Main Street Station</t>
        </is>
      </c>
      <c r="F25135" s="8" t="inlineStr">
        <is>
          <t>STANDBY</t>
        </is>
      </c>
      <c r="G25135" s="8" t="n">
        <v>10</v>
      </c>
      <c r="H25135" s="8" t="inlineStr">
        <is>
          <t>OPERATING</t>
        </is>
      </c>
    </row>
    <row r="25136">
      <c r="A25136" s="8" t="inlineStr">
        <is>
          <t>2026-08-05</t>
        </is>
      </c>
      <c r="B25136" s="8" t="n">
        <v>14</v>
      </c>
      <c r="C25136" s="8" t="n">
        <v>45</v>
      </c>
      <c r="D25136" s="8" t="inlineStr">
        <is>
          <t>Disneyland Park</t>
        </is>
      </c>
      <c r="E25136" s="8" t="inlineStr">
        <is>
          <t>Dumbo the Flying Elephant</t>
        </is>
      </c>
      <c r="F25136" s="8" t="inlineStr">
        <is>
          <t>STANDBY</t>
        </is>
      </c>
      <c r="G25136" s="8" t="n">
        <v>35</v>
      </c>
      <c r="H25136" s="8" t="inlineStr">
        <is>
          <t>OPERATING</t>
        </is>
      </c>
    </row>
    <row r="25137">
      <c r="A25137" s="8" t="inlineStr">
        <is>
          <t>2026-08-05</t>
        </is>
      </c>
      <c r="B25137" s="8" t="n">
        <v>14</v>
      </c>
      <c r="C25137" s="8" t="n">
        <v>45</v>
      </c>
      <c r="D25137" s="8" t="inlineStr">
        <is>
          <t>Disneyland Park</t>
        </is>
      </c>
      <c r="E25137" s="8" t="inlineStr">
        <is>
          <t>La Tanière du Dragon</t>
        </is>
      </c>
      <c r="F25137" s="8" t="inlineStr">
        <is>
          <t>STANDBY</t>
        </is>
      </c>
      <c r="G25137" s="8" t="n">
        <v>0</v>
      </c>
      <c r="H25137" s="8" t="inlineStr">
        <is>
          <t>OPERATING</t>
        </is>
      </c>
    </row>
    <row r="25138">
      <c r="A25138" s="8" t="inlineStr">
        <is>
          <t>2026-08-05</t>
        </is>
      </c>
      <c r="B25138" s="8" t="n">
        <v>14</v>
      </c>
      <c r="C25138" s="8" t="n">
        <v>45</v>
      </c>
      <c r="D25138" s="8" t="inlineStr">
        <is>
          <t>Disneyland Park</t>
        </is>
      </c>
      <c r="E25138" s="8" t="inlineStr">
        <is>
          <t>Le Carrousel de Lancelot</t>
        </is>
      </c>
      <c r="F25138" s="8" t="inlineStr">
        <is>
          <t>STANDBY</t>
        </is>
      </c>
      <c r="G25138" s="8" t="n">
        <v>25</v>
      </c>
      <c r="H25138" s="8" t="inlineStr">
        <is>
          <t>OPERATING</t>
        </is>
      </c>
    </row>
    <row r="25139">
      <c r="A25139" s="8" t="inlineStr">
        <is>
          <t>2026-08-05</t>
        </is>
      </c>
      <c r="B25139" s="8" t="n">
        <v>14</v>
      </c>
      <c r="C25139" s="8" t="n">
        <v>45</v>
      </c>
      <c r="D25139" s="8" t="inlineStr">
        <is>
          <t>Disneyland Park</t>
        </is>
      </c>
      <c r="E25139" s="8" t="inlineStr">
        <is>
          <t>Le Pays des Contes de Fées, presented by Vittel</t>
        </is>
      </c>
      <c r="F25139" s="8" t="inlineStr">
        <is>
          <t>STANDBY</t>
        </is>
      </c>
      <c r="G25139" s="8" t="n">
        <v>5</v>
      </c>
      <c r="H25139" s="8" t="inlineStr">
        <is>
          <t>OPERATING</t>
        </is>
      </c>
    </row>
    <row r="25140">
      <c r="A25140" s="8" t="inlineStr">
        <is>
          <t>2026-08-05</t>
        </is>
      </c>
      <c r="B25140" s="8" t="n">
        <v>14</v>
      </c>
      <c r="C25140" s="8" t="n">
        <v>45</v>
      </c>
      <c r="D25140" s="8" t="inlineStr">
        <is>
          <t>Disneyland Park</t>
        </is>
      </c>
      <c r="E25140" s="8" t="inlineStr">
        <is>
          <t>Les Voyages de Pinocchio</t>
        </is>
      </c>
      <c r="F25140" s="8" t="inlineStr">
        <is>
          <t>STANDBY</t>
        </is>
      </c>
      <c r="G25140" s="8" t="n">
        <v>30</v>
      </c>
      <c r="H25140" s="8" t="inlineStr">
        <is>
          <t>OPERATING</t>
        </is>
      </c>
    </row>
    <row r="25141">
      <c r="A25141" s="8" t="inlineStr">
        <is>
          <t>2026-08-05</t>
        </is>
      </c>
      <c r="B25141" s="8" t="n">
        <v>14</v>
      </c>
      <c r="C25141" s="8" t="n">
        <v>45</v>
      </c>
      <c r="D25141" s="8" t="inlineStr">
        <is>
          <t>Disneyland Park</t>
        </is>
      </c>
      <c r="E25141" s="8" t="inlineStr">
        <is>
          <t>Mad Hatter's Tea Cups</t>
        </is>
      </c>
      <c r="F25141" s="8" t="inlineStr">
        <is>
          <t>STANDBY</t>
        </is>
      </c>
      <c r="G25141" s="8" t="n">
        <v>10</v>
      </c>
      <c r="H25141" s="8" t="inlineStr">
        <is>
          <t>OPERATING</t>
        </is>
      </c>
    </row>
    <row r="25142">
      <c r="A25142" s="8" t="inlineStr">
        <is>
          <t>2026-08-05</t>
        </is>
      </c>
      <c r="B25142" s="8" t="n">
        <v>14</v>
      </c>
      <c r="C25142" s="8" t="n">
        <v>45</v>
      </c>
      <c r="D25142" s="8" t="inlineStr">
        <is>
          <t>Disneyland Park</t>
        </is>
      </c>
      <c r="E25142" s="8" t="inlineStr">
        <is>
          <t>Meet Mickey Mouse</t>
        </is>
      </c>
      <c r="F25142" s="8" t="inlineStr">
        <is>
          <t>STANDBY</t>
        </is>
      </c>
      <c r="G25142" s="8" t="n">
        <v>0</v>
      </c>
      <c r="H25142" s="8" t="inlineStr">
        <is>
          <t>OPERATING</t>
        </is>
      </c>
    </row>
    <row r="25143">
      <c r="A25143" s="8" t="inlineStr">
        <is>
          <t>2026-08-05</t>
        </is>
      </c>
      <c r="B25143" s="8" t="n">
        <v>14</v>
      </c>
      <c r="C25143" s="8" t="n">
        <v>45</v>
      </c>
      <c r="D25143" s="8" t="inlineStr">
        <is>
          <t>Disneyland Park</t>
        </is>
      </c>
      <c r="E25143" s="8" t="inlineStr">
        <is>
          <t>Peter Pan's Flight</t>
        </is>
      </c>
      <c r="F25143" s="8" t="inlineStr">
        <is>
          <t>STANDBY</t>
        </is>
      </c>
      <c r="G25143" s="8" t="n">
        <v>60</v>
      </c>
      <c r="H25143" s="8" t="inlineStr">
        <is>
          <t>OPERATING</t>
        </is>
      </c>
    </row>
    <row r="25144">
      <c r="A25144" s="8" t="inlineStr">
        <is>
          <t>2026-08-05</t>
        </is>
      </c>
      <c r="B25144" s="8" t="n">
        <v>14</v>
      </c>
      <c r="C25144" s="8" t="n">
        <v>45</v>
      </c>
      <c r="D25144" s="8" t="inlineStr">
        <is>
          <t>Disneyland Park</t>
        </is>
      </c>
      <c r="E25144" s="8" t="inlineStr">
        <is>
          <t>Princess Pavilion</t>
        </is>
      </c>
      <c r="F25144" s="8" t="inlineStr">
        <is>
          <t>STANDBY</t>
        </is>
      </c>
      <c r="G25144" s="8" t="n">
        <v>0</v>
      </c>
      <c r="H25144" s="8" t="inlineStr">
        <is>
          <t>OPERATING</t>
        </is>
      </c>
    </row>
    <row r="25145">
      <c r="A25145" s="8" t="inlineStr">
        <is>
          <t>2026-08-05</t>
        </is>
      </c>
      <c r="B25145" s="8" t="n">
        <v>14</v>
      </c>
      <c r="C25145" s="8" t="n">
        <v>45</v>
      </c>
      <c r="D25145" s="8" t="inlineStr">
        <is>
          <t>Disneyland Park</t>
        </is>
      </c>
      <c r="E25145" s="8" t="inlineStr">
        <is>
          <t>Big Thunder Mountain</t>
        </is>
      </c>
      <c r="F25145" s="8" t="inlineStr">
        <is>
          <t>STANDBY</t>
        </is>
      </c>
      <c r="G25145" s="8" t="n">
        <v>80</v>
      </c>
      <c r="H25145" s="8" t="inlineStr">
        <is>
          <t>OPERATING</t>
        </is>
      </c>
    </row>
    <row r="25146">
      <c r="A25146" s="8" t="inlineStr">
        <is>
          <t>2026-08-05</t>
        </is>
      </c>
      <c r="B25146" s="8" t="n">
        <v>14</v>
      </c>
      <c r="C25146" s="8" t="n">
        <v>45</v>
      </c>
      <c r="D25146" s="8" t="inlineStr">
        <is>
          <t>Disneyland Park</t>
        </is>
      </c>
      <c r="E25146" s="8" t="inlineStr">
        <is>
          <t>Disneyland Railroad Frontierland Depot</t>
        </is>
      </c>
      <c r="F25146" s="8" t="inlineStr">
        <is>
          <t>STANDBY</t>
        </is>
      </c>
      <c r="G25146" s="8" t="n">
        <v>10</v>
      </c>
      <c r="H25146" s="8" t="inlineStr">
        <is>
          <t>OPERATING</t>
        </is>
      </c>
    </row>
    <row r="25147">
      <c r="A25147" s="8" t="inlineStr">
        <is>
          <t>2026-08-05</t>
        </is>
      </c>
      <c r="B25147" s="8" t="n">
        <v>14</v>
      </c>
      <c r="C25147" s="8" t="n">
        <v>45</v>
      </c>
      <c r="D25147" s="8" t="inlineStr">
        <is>
          <t>Disneyland Park</t>
        </is>
      </c>
      <c r="E25147" s="8" t="inlineStr">
        <is>
          <t>Frontierland Playground</t>
        </is>
      </c>
      <c r="F25147" s="8" t="inlineStr">
        <is>
          <t>STANDBY</t>
        </is>
      </c>
      <c r="G25147" s="8" t="n">
        <v>0</v>
      </c>
      <c r="H25147" s="8" t="inlineStr">
        <is>
          <t>OPERATING</t>
        </is>
      </c>
    </row>
    <row r="25148">
      <c r="A25148" s="8" t="inlineStr">
        <is>
          <t>2026-08-05</t>
        </is>
      </c>
      <c r="B25148" s="8" t="n">
        <v>14</v>
      </c>
      <c r="C25148" s="8" t="n">
        <v>45</v>
      </c>
      <c r="D25148" s="8" t="inlineStr">
        <is>
          <t>Disneyland Park</t>
        </is>
      </c>
      <c r="E25148" s="8" t="inlineStr">
        <is>
          <t>Phantom Manor</t>
        </is>
      </c>
      <c r="F25148" s="8" t="inlineStr">
        <is>
          <t>STANDBY</t>
        </is>
      </c>
      <c r="G25148" s="8" t="n">
        <v>15</v>
      </c>
      <c r="H25148" s="8" t="inlineStr">
        <is>
          <t>OPERATING</t>
        </is>
      </c>
    </row>
    <row r="25149">
      <c r="A25149" s="8" t="inlineStr">
        <is>
          <t>2026-08-05</t>
        </is>
      </c>
      <c r="B25149" s="8" t="n">
        <v>14</v>
      </c>
      <c r="C25149" s="8" t="n">
        <v>45</v>
      </c>
      <c r="D25149" s="8" t="inlineStr">
        <is>
          <t>Disneyland Park</t>
        </is>
      </c>
      <c r="E25149" s="8" t="inlineStr">
        <is>
          <t>River Rogue Keelboats</t>
        </is>
      </c>
      <c r="F25149" s="8" t="inlineStr">
        <is>
          <t>STANDBY</t>
        </is>
      </c>
      <c r="G25149" s="8" t="n">
        <v>0</v>
      </c>
      <c r="H25149" s="8" t="inlineStr">
        <is>
          <t>CLOSED</t>
        </is>
      </c>
    </row>
    <row r="25150">
      <c r="A25150" s="8" t="inlineStr">
        <is>
          <t>2026-08-05</t>
        </is>
      </c>
      <c r="B25150" s="8" t="n">
        <v>14</v>
      </c>
      <c r="C25150" s="8" t="n">
        <v>45</v>
      </c>
      <c r="D25150" s="8" t="inlineStr">
        <is>
          <t>Disneyland Park</t>
        </is>
      </c>
      <c r="E25150" s="8" t="inlineStr">
        <is>
          <t>Rustler Roundup Shootin' Gallery</t>
        </is>
      </c>
      <c r="F25150" s="8" t="inlineStr">
        <is>
          <t>STANDBY</t>
        </is>
      </c>
      <c r="G25150" s="8" t="n">
        <v>0</v>
      </c>
      <c r="H25150" s="8" t="inlineStr">
        <is>
          <t>OPERATING</t>
        </is>
      </c>
    </row>
    <row r="25151">
      <c r="A25151" s="8" t="inlineStr">
        <is>
          <t>2026-08-05</t>
        </is>
      </c>
      <c r="B25151" s="8" t="n">
        <v>14</v>
      </c>
      <c r="C25151" s="8" t="n">
        <v>45</v>
      </c>
      <c r="D25151" s="8" t="inlineStr">
        <is>
          <t>Disneyland Park</t>
        </is>
      </c>
      <c r="E25151" s="8" t="inlineStr">
        <is>
          <t>Thunder Mesa Riverboat Landing</t>
        </is>
      </c>
      <c r="F25151" s="8" t="inlineStr">
        <is>
          <t>STANDBY</t>
        </is>
      </c>
      <c r="G25151" s="8" t="n">
        <v>20</v>
      </c>
      <c r="H25151" s="8" t="inlineStr">
        <is>
          <t>OPERATING</t>
        </is>
      </c>
    </row>
    <row r="25152">
      <c r="A25152" s="8" t="inlineStr">
        <is>
          <t>2026-08-05</t>
        </is>
      </c>
      <c r="B25152" s="8" t="n">
        <v>14</v>
      </c>
      <c r="C25152" s="8" t="n">
        <v>45</v>
      </c>
      <c r="D25152" s="8" t="inlineStr">
        <is>
          <t>Disneyland Park</t>
        </is>
      </c>
      <c r="E25152" s="8" t="inlineStr">
        <is>
          <t>Disneyland Railroad Main Street Station</t>
        </is>
      </c>
      <c r="F25152" s="8" t="inlineStr">
        <is>
          <t>STANDBY</t>
        </is>
      </c>
      <c r="G25152" s="8" t="n">
        <v>0</v>
      </c>
      <c r="H25152" s="8" t="inlineStr">
        <is>
          <t>OPERATING</t>
        </is>
      </c>
    </row>
    <row r="25153">
      <c r="A25153" s="8" t="inlineStr">
        <is>
          <t>2026-08-05</t>
        </is>
      </c>
      <c r="B25153" s="8" t="n">
        <v>14</v>
      </c>
      <c r="C25153" s="8" t="n">
        <v>45</v>
      </c>
      <c r="D25153" s="8" t="inlineStr">
        <is>
          <t>Disneyland Park</t>
        </is>
      </c>
      <c r="E25153" s="8" t="inlineStr">
        <is>
          <t>Main Street Vehicles</t>
        </is>
      </c>
      <c r="F25153" s="8" t="inlineStr">
        <is>
          <t>STANDBY</t>
        </is>
      </c>
      <c r="G25153" s="8" t="n">
        <v>0</v>
      </c>
      <c r="H25153" s="8" t="inlineStr">
        <is>
          <t>CLOSED</t>
        </is>
      </c>
    </row>
    <row r="25154">
      <c r="A25154" s="8" t="inlineStr">
        <is>
          <t>2026-08-05</t>
        </is>
      </c>
      <c r="B25154" s="8" t="n">
        <v>14</v>
      </c>
      <c r="C25154" s="8" t="n">
        <v>45</v>
      </c>
      <c r="D25154" s="8" t="inlineStr">
        <is>
          <t>Disney Adventure World</t>
        </is>
      </c>
      <c r="E25154" s="8" t="inlineStr">
        <is>
          <t>Avengers Assemble: Flight Force</t>
        </is>
      </c>
      <c r="F25154" s="8" t="inlineStr">
        <is>
          <t>STANDBY</t>
        </is>
      </c>
      <c r="G25154" s="8" t="n">
        <v>30</v>
      </c>
      <c r="H25154" s="8" t="inlineStr">
        <is>
          <t>OPERATING</t>
        </is>
      </c>
    </row>
    <row r="25155">
      <c r="A25155" s="8" t="inlineStr">
        <is>
          <t>2026-08-05</t>
        </is>
      </c>
      <c r="B25155" s="8" t="n">
        <v>14</v>
      </c>
      <c r="C25155" s="8" t="n">
        <v>45</v>
      </c>
      <c r="D25155" s="8" t="inlineStr">
        <is>
          <t>Disney Adventure World</t>
        </is>
      </c>
      <c r="E25155" s="8" t="inlineStr">
        <is>
          <t>Avengers Assemble: Flight Force Single Rider</t>
        </is>
      </c>
      <c r="F25155" s="8" t="inlineStr">
        <is>
          <t>STANDBY</t>
        </is>
      </c>
      <c r="G25155" s="8" t="n">
        <v>25</v>
      </c>
      <c r="H25155" s="8" t="inlineStr">
        <is>
          <t>OPERATING</t>
        </is>
      </c>
    </row>
    <row r="25156">
      <c r="A25156" s="8" t="inlineStr">
        <is>
          <t>2026-08-05</t>
        </is>
      </c>
      <c r="B25156" s="8" t="n">
        <v>14</v>
      </c>
      <c r="C25156" s="8" t="n">
        <v>45</v>
      </c>
      <c r="D25156" s="8" t="inlineStr">
        <is>
          <t>Disney Adventure World</t>
        </is>
      </c>
      <c r="E25156" s="8" t="inlineStr">
        <is>
          <t>Spider-Man W.E.B. Adventure</t>
        </is>
      </c>
      <c r="F25156" s="8" t="inlineStr">
        <is>
          <t>STANDBY</t>
        </is>
      </c>
      <c r="G25156" s="8" t="n">
        <v>45</v>
      </c>
      <c r="H25156" s="8" t="inlineStr">
        <is>
          <t>OPERATING</t>
        </is>
      </c>
    </row>
    <row r="25157">
      <c r="A25157" s="8" t="inlineStr">
        <is>
          <t>2026-08-05</t>
        </is>
      </c>
      <c r="B25157" s="8" t="n">
        <v>14</v>
      </c>
      <c r="C25157" s="8" t="n">
        <v>45</v>
      </c>
      <c r="D25157" s="8" t="inlineStr">
        <is>
          <t>Disney Adventure World</t>
        </is>
      </c>
      <c r="E25157" s="8" t="inlineStr">
        <is>
          <t>Spider-Man W.E.B. Adventure Single Rider</t>
        </is>
      </c>
      <c r="F25157" s="8" t="inlineStr">
        <is>
          <t>STANDBY</t>
        </is>
      </c>
      <c r="G25157" s="8" t="n">
        <v>30</v>
      </c>
      <c r="H25157" s="8" t="inlineStr">
        <is>
          <t>OPERATING</t>
        </is>
      </c>
    </row>
    <row r="25158">
      <c r="A25158" s="8" t="inlineStr">
        <is>
          <t>2026-08-05</t>
        </is>
      </c>
      <c r="B25158" s="8" t="n">
        <v>14</v>
      </c>
      <c r="C25158" s="8" t="n">
        <v>45</v>
      </c>
      <c r="D25158" s="8" t="inlineStr">
        <is>
          <t>Disney Adventure World</t>
        </is>
      </c>
      <c r="E25158" s="8" t="inlineStr">
        <is>
          <t>The Twilight Zone Tower of Terror</t>
        </is>
      </c>
      <c r="F25158" s="8" t="inlineStr">
        <is>
          <t>STANDBY</t>
        </is>
      </c>
      <c r="G25158" s="8" t="n">
        <v>60</v>
      </c>
      <c r="H25158" s="8" t="inlineStr">
        <is>
          <t>OPERATING</t>
        </is>
      </c>
    </row>
    <row r="25159">
      <c r="A25159" s="8" t="inlineStr">
        <is>
          <t>2026-08-05</t>
        </is>
      </c>
      <c r="B25159" s="8" t="n">
        <v>14</v>
      </c>
      <c r="C25159" s="8" t="n">
        <v>45</v>
      </c>
      <c r="D25159" s="8" t="inlineStr">
        <is>
          <t>Disney Adventure World</t>
        </is>
      </c>
      <c r="E25159" s="8" t="inlineStr">
        <is>
          <t>Cars Quatre Roues Rallye</t>
        </is>
      </c>
      <c r="F25159" s="8" t="inlineStr">
        <is>
          <t>STANDBY</t>
        </is>
      </c>
      <c r="G25159" s="8" t="n">
        <v>20</v>
      </c>
      <c r="H25159" s="8" t="inlineStr">
        <is>
          <t>OPERATING</t>
        </is>
      </c>
    </row>
    <row r="25160">
      <c r="A25160" s="8" t="inlineStr">
        <is>
          <t>2026-08-05</t>
        </is>
      </c>
      <c r="B25160" s="8" t="n">
        <v>14</v>
      </c>
      <c r="C25160" s="8" t="n">
        <v>45</v>
      </c>
      <c r="D25160" s="8" t="inlineStr">
        <is>
          <t>Disney Adventure World</t>
        </is>
      </c>
      <c r="E25160" s="8" t="inlineStr">
        <is>
          <t>Cars ROAD TRIP</t>
        </is>
      </c>
      <c r="F25160" s="8" t="inlineStr">
        <is>
          <t>STANDBY</t>
        </is>
      </c>
      <c r="G25160" s="8" t="n">
        <v>20</v>
      </c>
      <c r="H25160" s="8" t="inlineStr">
        <is>
          <t>OPERATING</t>
        </is>
      </c>
    </row>
    <row r="25161">
      <c r="A25161" s="8" t="inlineStr">
        <is>
          <t>2026-08-05</t>
        </is>
      </c>
      <c r="B25161" s="8" t="n">
        <v>14</v>
      </c>
      <c r="C25161" s="8" t="n">
        <v>45</v>
      </c>
      <c r="D25161" s="8" t="inlineStr">
        <is>
          <t>Disney Adventure World</t>
        </is>
      </c>
      <c r="E25161" s="8" t="inlineStr">
        <is>
          <t>Crush's Coaster</t>
        </is>
      </c>
      <c r="F25161" s="8" t="inlineStr">
        <is>
          <t>STANDBY</t>
        </is>
      </c>
      <c r="G25161" s="8" t="n">
        <v>80</v>
      </c>
      <c r="H25161" s="8" t="inlineStr">
        <is>
          <t>OPERATING</t>
        </is>
      </c>
    </row>
    <row r="25162">
      <c r="A25162" s="8" t="inlineStr">
        <is>
          <t>2026-08-05</t>
        </is>
      </c>
      <c r="B25162" s="8" t="n">
        <v>14</v>
      </c>
      <c r="C25162" s="8" t="n">
        <v>45</v>
      </c>
      <c r="D25162" s="8" t="inlineStr">
        <is>
          <t>Disney Adventure World</t>
        </is>
      </c>
      <c r="E25162" s="8" t="inlineStr">
        <is>
          <t>Crush's Coaster Single Rider</t>
        </is>
      </c>
      <c r="F25162" s="8" t="inlineStr">
        <is>
          <t>STANDBY</t>
        </is>
      </c>
      <c r="G25162" s="8" t="n">
        <v>70</v>
      </c>
      <c r="H25162" s="8" t="inlineStr">
        <is>
          <t>OPERATING</t>
        </is>
      </c>
    </row>
    <row r="25163">
      <c r="A25163" s="8" t="inlineStr">
        <is>
          <t>2026-08-05</t>
        </is>
      </c>
      <c r="B25163" s="8" t="n">
        <v>14</v>
      </c>
      <c r="C25163" s="8" t="n">
        <v>45</v>
      </c>
      <c r="D25163" s="8" t="inlineStr">
        <is>
          <t>Disney Adventure World</t>
        </is>
      </c>
      <c r="E25163" s="8" t="inlineStr">
        <is>
          <t>Les Tapis Volants - Flying Carpets Over Agrabah®</t>
        </is>
      </c>
      <c r="F25163" s="8" t="inlineStr">
        <is>
          <t>STANDBY</t>
        </is>
      </c>
      <c r="G25163" s="8" t="n">
        <v>20</v>
      </c>
      <c r="H25163" s="8" t="inlineStr">
        <is>
          <t>OPERATING</t>
        </is>
      </c>
    </row>
    <row r="25164">
      <c r="A25164" s="8" t="inlineStr">
        <is>
          <t>2026-08-05</t>
        </is>
      </c>
      <c r="B25164" s="8" t="n">
        <v>14</v>
      </c>
      <c r="C25164" s="8" t="n">
        <v>45</v>
      </c>
      <c r="D25164" s="8" t="inlineStr">
        <is>
          <t>Disney Adventure World</t>
        </is>
      </c>
      <c r="E25164" s="8" t="inlineStr">
        <is>
          <t>Ratatouille : L’Aventure Totalement Toquée de Rémy​</t>
        </is>
      </c>
      <c r="F25164" s="8" t="inlineStr">
        <is>
          <t>STANDBY</t>
        </is>
      </c>
      <c r="G25164" s="8" t="n">
        <v>70</v>
      </c>
      <c r="H25164" s="8" t="inlineStr">
        <is>
          <t>OPERATING</t>
        </is>
      </c>
    </row>
    <row r="25165">
      <c r="A25165" s="8" t="inlineStr">
        <is>
          <t>2026-08-05</t>
        </is>
      </c>
      <c r="B25165" s="8" t="n">
        <v>14</v>
      </c>
      <c r="C25165" s="8" t="n">
        <v>45</v>
      </c>
      <c r="D25165" s="8" t="inlineStr">
        <is>
          <t>Disney Adventure World</t>
        </is>
      </c>
      <c r="E25165" s="8" t="inlineStr">
        <is>
          <t>Ratatouille: The Adventure Single Rider</t>
        </is>
      </c>
      <c r="F25165" s="8" t="inlineStr">
        <is>
          <t>STANDBY</t>
        </is>
      </c>
      <c r="G25165" s="8" t="n">
        <v>25</v>
      </c>
      <c r="H25165" s="8" t="inlineStr">
        <is>
          <t>OPERATING</t>
        </is>
      </c>
    </row>
    <row r="25166">
      <c r="A25166" s="8" t="inlineStr">
        <is>
          <t>2026-08-05</t>
        </is>
      </c>
      <c r="B25166" s="8" t="n">
        <v>14</v>
      </c>
      <c r="C25166" s="8" t="n">
        <v>45</v>
      </c>
      <c r="D25166" s="8" t="inlineStr">
        <is>
          <t>Disney Adventure World</t>
        </is>
      </c>
      <c r="E25166" s="8" t="inlineStr">
        <is>
          <t>RC Racer</t>
        </is>
      </c>
      <c r="F25166" s="8" t="inlineStr">
        <is>
          <t>STANDBY</t>
        </is>
      </c>
      <c r="G25166" s="8" t="n">
        <v>50</v>
      </c>
      <c r="H25166" s="8" t="inlineStr">
        <is>
          <t>OPERATING</t>
        </is>
      </c>
    </row>
    <row r="25167">
      <c r="A25167" s="8" t="inlineStr">
        <is>
          <t>2026-08-05</t>
        </is>
      </c>
      <c r="B25167" s="8" t="n">
        <v>14</v>
      </c>
      <c r="C25167" s="8" t="n">
        <v>45</v>
      </c>
      <c r="D25167" s="8" t="inlineStr">
        <is>
          <t>Disney Adventure World</t>
        </is>
      </c>
      <c r="E25167" s="8" t="inlineStr">
        <is>
          <t>RC Racer Single Rider</t>
        </is>
      </c>
      <c r="F25167" s="8" t="inlineStr">
        <is>
          <t>STANDBY</t>
        </is>
      </c>
      <c r="G25167" s="8" t="n">
        <v>45</v>
      </c>
      <c r="H25167" s="8" t="inlineStr">
        <is>
          <t>OPERATING</t>
        </is>
      </c>
    </row>
    <row r="25168">
      <c r="A25168" s="8" t="inlineStr">
        <is>
          <t>2026-08-05</t>
        </is>
      </c>
      <c r="B25168" s="8" t="n">
        <v>14</v>
      </c>
      <c r="C25168" s="8" t="n">
        <v>45</v>
      </c>
      <c r="D25168" s="8" t="inlineStr">
        <is>
          <t>Disney Adventure World</t>
        </is>
      </c>
      <c r="E25168" s="8" t="inlineStr">
        <is>
          <t>Slinky® Dog Zigzag Spin</t>
        </is>
      </c>
      <c r="F25168" s="8" t="inlineStr">
        <is>
          <t>STANDBY</t>
        </is>
      </c>
      <c r="G25168" s="8" t="n">
        <v>25</v>
      </c>
      <c r="H25168" s="8" t="inlineStr">
        <is>
          <t>OPERATING</t>
        </is>
      </c>
    </row>
    <row r="25169">
      <c r="A25169" s="8" t="inlineStr">
        <is>
          <t>2026-08-05</t>
        </is>
      </c>
      <c r="B25169" s="8" t="n">
        <v>14</v>
      </c>
      <c r="C25169" s="8" t="n">
        <v>45</v>
      </c>
      <c r="D25169" s="8" t="inlineStr">
        <is>
          <t>Disney Adventure World</t>
        </is>
      </c>
      <c r="E25169" s="8" t="inlineStr">
        <is>
          <t>Toy Soldiers Parachute Drop</t>
        </is>
      </c>
      <c r="F25169" s="8" t="inlineStr">
        <is>
          <t>STANDBY</t>
        </is>
      </c>
      <c r="G25169" s="8" t="n">
        <v>45</v>
      </c>
      <c r="H25169" s="8" t="inlineStr">
        <is>
          <t>OPERATING</t>
        </is>
      </c>
    </row>
    <row r="25170">
      <c r="A25170" s="8" t="inlineStr">
        <is>
          <t>2026-08-05</t>
        </is>
      </c>
      <c r="B25170" s="8" t="n">
        <v>14</v>
      </c>
      <c r="C25170" s="8" t="n">
        <v>45</v>
      </c>
      <c r="D25170" s="8" t="inlineStr">
        <is>
          <t>Disney Adventure World</t>
        </is>
      </c>
      <c r="E25170" s="8" t="inlineStr">
        <is>
          <t>Toy Soldiers Parachute Drop Single Rider</t>
        </is>
      </c>
      <c r="F25170" s="8" t="inlineStr">
        <is>
          <t>STANDBY</t>
        </is>
      </c>
      <c r="G25170" s="8" t="n">
        <v>20</v>
      </c>
      <c r="H25170" s="8" t="inlineStr">
        <is>
          <t>OPERATING</t>
        </is>
      </c>
    </row>
    <row r="25171">
      <c r="A25171" s="8" t="inlineStr">
        <is>
          <t>2026-08-05</t>
        </is>
      </c>
      <c r="B25171" s="8" t="n">
        <v>14</v>
      </c>
      <c r="C25171" s="8" t="n">
        <v>45</v>
      </c>
      <c r="D25171" s="8" t="inlineStr">
        <is>
          <t>Disney Adventure World</t>
        </is>
      </c>
      <c r="E25171" s="8" t="inlineStr">
        <is>
          <t>Entry to World of Frozen</t>
        </is>
      </c>
      <c r="F25171" s="8" t="inlineStr">
        <is>
          <t>STANDBY</t>
        </is>
      </c>
      <c r="G25171" s="8" t="n">
        <v>0</v>
      </c>
      <c r="H25171" s="8" t="inlineStr">
        <is>
          <t>OPERATING</t>
        </is>
      </c>
    </row>
    <row r="25172">
      <c r="A25172" s="8" t="inlineStr">
        <is>
          <t>2026-08-05</t>
        </is>
      </c>
      <c r="B25172" s="8" t="n">
        <v>14</v>
      </c>
      <c r="C25172" s="8" t="n">
        <v>45</v>
      </c>
      <c r="D25172" s="8" t="inlineStr">
        <is>
          <t>Disney Adventure World</t>
        </is>
      </c>
      <c r="E25172" s="8" t="inlineStr">
        <is>
          <t>Frozen Ever After</t>
        </is>
      </c>
      <c r="F25172" s="8" t="inlineStr">
        <is>
          <t>STANDBY</t>
        </is>
      </c>
      <c r="G25172" s="8" t="n">
        <v>55</v>
      </c>
      <c r="H25172" s="8" t="inlineStr">
        <is>
          <t>OPERATING</t>
        </is>
      </c>
    </row>
    <row r="25173">
      <c r="A25173" s="8" t="inlineStr">
        <is>
          <t>2026-08-05</t>
        </is>
      </c>
      <c r="B25173" s="8" t="n">
        <v>14</v>
      </c>
      <c r="C25173" s="8" t="n">
        <v>45</v>
      </c>
      <c r="D25173" s="8" t="inlineStr">
        <is>
          <t>Disney Adventure World</t>
        </is>
      </c>
      <c r="E25173" s="8" t="inlineStr">
        <is>
          <t>Raiponce Tangled Spin</t>
        </is>
      </c>
      <c r="F25173" s="8" t="inlineStr">
        <is>
          <t>STANDBY</t>
        </is>
      </c>
      <c r="G25173" s="8" t="n">
        <v>15</v>
      </c>
      <c r="H25173" s="8" t="inlineStr">
        <is>
          <t>OPERATING</t>
        </is>
      </c>
    </row>
    <row r="25174">
      <c r="A25174" s="8" t="inlineStr">
        <is>
          <t>2026-08-05</t>
        </is>
      </c>
      <c r="B25174" s="8" t="n">
        <v>15</v>
      </c>
      <c r="C25174" s="8" t="n">
        <v>1</v>
      </c>
      <c r="D25174" s="8" t="inlineStr">
        <is>
          <t>Disneyland Park</t>
        </is>
      </c>
      <c r="E25174" s="8" t="inlineStr">
        <is>
          <t>Adventure Isle</t>
        </is>
      </c>
      <c r="F25174" s="8" t="inlineStr">
        <is>
          <t>STANDBY</t>
        </is>
      </c>
      <c r="G25174" s="8" t="n">
        <v>0</v>
      </c>
      <c r="H25174" s="8" t="inlineStr">
        <is>
          <t>OPERATING</t>
        </is>
      </c>
    </row>
    <row r="25175">
      <c r="A25175" s="8" t="inlineStr">
        <is>
          <t>2026-08-05</t>
        </is>
      </c>
      <c r="B25175" s="8" t="n">
        <v>15</v>
      </c>
      <c r="C25175" s="8" t="n">
        <v>1</v>
      </c>
      <c r="D25175" s="8" t="inlineStr">
        <is>
          <t>Disneyland Park</t>
        </is>
      </c>
      <c r="E25175" s="8" t="inlineStr">
        <is>
          <t>Indiana Jones and the Temple of Peril Single Rider</t>
        </is>
      </c>
      <c r="F25175" s="8" t="inlineStr">
        <is>
          <t>STANDBY</t>
        </is>
      </c>
      <c r="G25175" s="8" t="n">
        <v>20</v>
      </c>
      <c r="H25175" s="8" t="inlineStr">
        <is>
          <t>OPERATING</t>
        </is>
      </c>
    </row>
    <row r="25176">
      <c r="A25176" s="8" t="inlineStr">
        <is>
          <t>2026-08-05</t>
        </is>
      </c>
      <c r="B25176" s="8" t="n">
        <v>15</v>
      </c>
      <c r="C25176" s="8" t="n">
        <v>1</v>
      </c>
      <c r="D25176" s="8" t="inlineStr">
        <is>
          <t>Disneyland Park</t>
        </is>
      </c>
      <c r="E25176" s="8" t="inlineStr">
        <is>
          <t>Indiana Jones™ and the Temple of Peril</t>
        </is>
      </c>
      <c r="F25176" s="8" t="inlineStr">
        <is>
          <t>STANDBY</t>
        </is>
      </c>
      <c r="G25176" s="8" t="n">
        <v>40</v>
      </c>
      <c r="H25176" s="8" t="inlineStr">
        <is>
          <t>OPERATING</t>
        </is>
      </c>
    </row>
    <row r="25177">
      <c r="A25177" s="8" t="inlineStr">
        <is>
          <t>2026-08-05</t>
        </is>
      </c>
      <c r="B25177" s="8" t="n">
        <v>15</v>
      </c>
      <c r="C25177" s="8" t="n">
        <v>1</v>
      </c>
      <c r="D25177" s="8" t="inlineStr">
        <is>
          <t>Disneyland Park</t>
        </is>
      </c>
      <c r="E25177" s="8" t="inlineStr">
        <is>
          <t>La Cabane des Robinson</t>
        </is>
      </c>
      <c r="F25177" s="8" t="inlineStr">
        <is>
          <t>STANDBY</t>
        </is>
      </c>
      <c r="G25177" s="8" t="n">
        <v>5</v>
      </c>
      <c r="H25177" s="8" t="inlineStr">
        <is>
          <t>OPERATING</t>
        </is>
      </c>
    </row>
    <row r="25178">
      <c r="A25178" s="8" t="inlineStr">
        <is>
          <t>2026-08-05</t>
        </is>
      </c>
      <c r="B25178" s="8" t="n">
        <v>15</v>
      </c>
      <c r="C25178" s="8" t="n">
        <v>1</v>
      </c>
      <c r="D25178" s="8" t="inlineStr">
        <is>
          <t>Disneyland Park</t>
        </is>
      </c>
      <c r="E25178" s="8" t="inlineStr">
        <is>
          <t>Le Passage Enchanté d'Aladdin</t>
        </is>
      </c>
      <c r="F25178" s="8" t="inlineStr">
        <is>
          <t>STANDBY</t>
        </is>
      </c>
      <c r="G25178" s="8" t="n">
        <v>0</v>
      </c>
      <c r="H25178" s="8" t="inlineStr">
        <is>
          <t>OPERATING</t>
        </is>
      </c>
    </row>
    <row r="25179">
      <c r="A25179" s="8" t="inlineStr">
        <is>
          <t>2026-08-05</t>
        </is>
      </c>
      <c r="B25179" s="8" t="n">
        <v>15</v>
      </c>
      <c r="C25179" s="8" t="n">
        <v>1</v>
      </c>
      <c r="D25179" s="8" t="inlineStr">
        <is>
          <t>Disneyland Park</t>
        </is>
      </c>
      <c r="E25179" s="8" t="inlineStr">
        <is>
          <t>Pirate Galleon</t>
        </is>
      </c>
      <c r="F25179" s="8" t="inlineStr">
        <is>
          <t>STANDBY</t>
        </is>
      </c>
      <c r="G25179" s="8" t="n">
        <v>0</v>
      </c>
      <c r="H25179" s="8" t="inlineStr">
        <is>
          <t>CLOSED</t>
        </is>
      </c>
    </row>
    <row r="25180">
      <c r="A25180" s="8" t="inlineStr">
        <is>
          <t>2026-08-05</t>
        </is>
      </c>
      <c r="B25180" s="8" t="n">
        <v>15</v>
      </c>
      <c r="C25180" s="8" t="n">
        <v>1</v>
      </c>
      <c r="D25180" s="8" t="inlineStr">
        <is>
          <t>Disneyland Park</t>
        </is>
      </c>
      <c r="E25180" s="8" t="inlineStr">
        <is>
          <t>Pirates of the Caribbean</t>
        </is>
      </c>
      <c r="F25180" s="8" t="inlineStr">
        <is>
          <t>STANDBY</t>
        </is>
      </c>
      <c r="G25180" s="8" t="n">
        <v>30</v>
      </c>
      <c r="H25180" s="8" t="inlineStr">
        <is>
          <t>OPERATING</t>
        </is>
      </c>
    </row>
    <row r="25181">
      <c r="A25181" s="8" t="inlineStr">
        <is>
          <t>2026-08-05</t>
        </is>
      </c>
      <c r="B25181" s="8" t="n">
        <v>15</v>
      </c>
      <c r="C25181" s="8" t="n">
        <v>1</v>
      </c>
      <c r="D25181" s="8" t="inlineStr">
        <is>
          <t>Disneyland Park</t>
        </is>
      </c>
      <c r="E25181" s="8" t="inlineStr">
        <is>
          <t>Pirates' Beach</t>
        </is>
      </c>
      <c r="F25181" s="8" t="inlineStr">
        <is>
          <t>STANDBY</t>
        </is>
      </c>
      <c r="G25181" s="8" t="n">
        <v>0</v>
      </c>
      <c r="H25181" s="8" t="inlineStr">
        <is>
          <t>OPERATING</t>
        </is>
      </c>
    </row>
    <row r="25182">
      <c r="A25182" s="8" t="inlineStr">
        <is>
          <t>2026-08-05</t>
        </is>
      </c>
      <c r="B25182" s="8" t="n">
        <v>15</v>
      </c>
      <c r="C25182" s="8" t="n">
        <v>1</v>
      </c>
      <c r="D25182" s="8" t="inlineStr">
        <is>
          <t>Disneyland Park</t>
        </is>
      </c>
      <c r="E25182" s="8" t="inlineStr">
        <is>
          <t>Autopia, presented by Avis</t>
        </is>
      </c>
      <c r="F25182" s="8" t="inlineStr">
        <is>
          <t>STANDBY</t>
        </is>
      </c>
      <c r="G25182" s="8" t="n">
        <v>40</v>
      </c>
      <c r="H25182" s="8" t="inlineStr">
        <is>
          <t>OPERATING</t>
        </is>
      </c>
    </row>
    <row r="25183">
      <c r="A25183" s="8" t="inlineStr">
        <is>
          <t>2026-08-05</t>
        </is>
      </c>
      <c r="B25183" s="8" t="n">
        <v>15</v>
      </c>
      <c r="C25183" s="8" t="n">
        <v>1</v>
      </c>
      <c r="D25183" s="8" t="inlineStr">
        <is>
          <t>Disneyland Park</t>
        </is>
      </c>
      <c r="E25183" s="8" t="inlineStr">
        <is>
          <t>Buzz Lightyear Laser Blast</t>
        </is>
      </c>
      <c r="F25183" s="8" t="inlineStr">
        <is>
          <t>STANDBY</t>
        </is>
      </c>
      <c r="G25183" s="8" t="n">
        <v>40</v>
      </c>
      <c r="H25183" s="8" t="inlineStr">
        <is>
          <t>OPERATING</t>
        </is>
      </c>
    </row>
    <row r="25184">
      <c r="A25184" s="8" t="inlineStr">
        <is>
          <t>2026-08-05</t>
        </is>
      </c>
      <c r="B25184" s="8" t="n">
        <v>15</v>
      </c>
      <c r="C25184" s="8" t="n">
        <v>1</v>
      </c>
      <c r="D25184" s="8" t="inlineStr">
        <is>
          <t>Disneyland Park</t>
        </is>
      </c>
      <c r="E25184" s="8" t="inlineStr">
        <is>
          <t>Disneyland Railroad Discoveryland Station</t>
        </is>
      </c>
      <c r="F25184" s="8" t="inlineStr">
        <is>
          <t>STANDBY</t>
        </is>
      </c>
      <c r="G25184" s="8" t="n">
        <v>0</v>
      </c>
      <c r="H25184" s="8" t="inlineStr">
        <is>
          <t>CLOSED</t>
        </is>
      </c>
    </row>
    <row r="25185">
      <c r="A25185" s="8" t="inlineStr">
        <is>
          <t>2026-08-05</t>
        </is>
      </c>
      <c r="B25185" s="8" t="n">
        <v>15</v>
      </c>
      <c r="C25185" s="8" t="n">
        <v>1</v>
      </c>
      <c r="D25185" s="8" t="inlineStr">
        <is>
          <t>Disneyland Park</t>
        </is>
      </c>
      <c r="E25185" s="8" t="inlineStr">
        <is>
          <t>Les Mystères du Nautilus</t>
        </is>
      </c>
      <c r="F25185" s="8" t="inlineStr">
        <is>
          <t>STANDBY</t>
        </is>
      </c>
      <c r="G25185" s="8" t="n">
        <v>5</v>
      </c>
      <c r="H25185" s="8" t="inlineStr">
        <is>
          <t>OPERATING</t>
        </is>
      </c>
    </row>
    <row r="25186">
      <c r="A25186" s="8" t="inlineStr">
        <is>
          <t>2026-08-05</t>
        </is>
      </c>
      <c r="B25186" s="8" t="n">
        <v>15</v>
      </c>
      <c r="C25186" s="8" t="n">
        <v>1</v>
      </c>
      <c r="D25186" s="8" t="inlineStr">
        <is>
          <t>Disneyland Park</t>
        </is>
      </c>
      <c r="E25186" s="8" t="inlineStr">
        <is>
          <t>Mickey’s PhilharMagic</t>
        </is>
      </c>
      <c r="F25186" s="8" t="inlineStr">
        <is>
          <t>STANDBY</t>
        </is>
      </c>
      <c r="G25186" s="8" t="n">
        <v>0</v>
      </c>
      <c r="H25186" s="8" t="inlineStr">
        <is>
          <t>OPERATING</t>
        </is>
      </c>
    </row>
    <row r="25187">
      <c r="A25187" s="8" t="inlineStr">
        <is>
          <t>2026-08-05</t>
        </is>
      </c>
      <c r="B25187" s="8" t="n">
        <v>15</v>
      </c>
      <c r="C25187" s="8" t="n">
        <v>1</v>
      </c>
      <c r="D25187" s="8" t="inlineStr">
        <is>
          <t>Disneyland Park</t>
        </is>
      </c>
      <c r="E25187" s="8" t="inlineStr">
        <is>
          <t>Orbitron®</t>
        </is>
      </c>
      <c r="F25187" s="8" t="inlineStr">
        <is>
          <t>STANDBY</t>
        </is>
      </c>
      <c r="G25187" s="8" t="n">
        <v>70</v>
      </c>
      <c r="H25187" s="8" t="inlineStr">
        <is>
          <t>OPERATING</t>
        </is>
      </c>
    </row>
    <row r="25188">
      <c r="A25188" s="8" t="inlineStr">
        <is>
          <t>2026-08-05</t>
        </is>
      </c>
      <c r="B25188" s="8" t="n">
        <v>15</v>
      </c>
      <c r="C25188" s="8" t="n">
        <v>1</v>
      </c>
      <c r="D25188" s="8" t="inlineStr">
        <is>
          <t>Disneyland Park</t>
        </is>
      </c>
      <c r="E25188" s="8" t="inlineStr">
        <is>
          <t>Star Tours: The Adventures Continue*</t>
        </is>
      </c>
      <c r="F25188" s="8" t="inlineStr">
        <is>
          <t>STANDBY</t>
        </is>
      </c>
      <c r="G25188" s="8" t="n">
        <v>30</v>
      </c>
      <c r="H25188" s="8" t="inlineStr">
        <is>
          <t>OPERATING</t>
        </is>
      </c>
    </row>
    <row r="25189">
      <c r="A25189" s="8" t="inlineStr">
        <is>
          <t>2026-08-05</t>
        </is>
      </c>
      <c r="B25189" s="8" t="n">
        <v>15</v>
      </c>
      <c r="C25189" s="8" t="n">
        <v>1</v>
      </c>
      <c r="D25189" s="8" t="inlineStr">
        <is>
          <t>Disneyland Park</t>
        </is>
      </c>
      <c r="E25189" s="8" t="inlineStr">
        <is>
          <t>Star Wars Hyperspace Mountain</t>
        </is>
      </c>
      <c r="F25189" s="8" t="inlineStr">
        <is>
          <t>STANDBY</t>
        </is>
      </c>
      <c r="G25189" s="8" t="n">
        <v>40</v>
      </c>
      <c r="H25189" s="8" t="inlineStr">
        <is>
          <t>OPERATING</t>
        </is>
      </c>
    </row>
    <row r="25190">
      <c r="A25190" s="8" t="inlineStr">
        <is>
          <t>2026-08-05</t>
        </is>
      </c>
      <c r="B25190" s="8" t="n">
        <v>15</v>
      </c>
      <c r="C25190" s="8" t="n">
        <v>1</v>
      </c>
      <c r="D25190" s="8" t="inlineStr">
        <is>
          <t>Disneyland Park</t>
        </is>
      </c>
      <c r="E25190" s="8" t="inlineStr">
        <is>
          <t>Star Wars Hyperspace Mountain Single Rider</t>
        </is>
      </c>
      <c r="F25190" s="8" t="inlineStr">
        <is>
          <t>STANDBY</t>
        </is>
      </c>
      <c r="G25190" s="8" t="n">
        <v>30</v>
      </c>
      <c r="H25190" s="8" t="inlineStr">
        <is>
          <t>OPERATING</t>
        </is>
      </c>
    </row>
    <row r="25191">
      <c r="A25191" s="8" t="inlineStr">
        <is>
          <t>2026-08-05</t>
        </is>
      </c>
      <c r="B25191" s="8" t="n">
        <v>15</v>
      </c>
      <c r="C25191" s="8" t="n">
        <v>1</v>
      </c>
      <c r="D25191" s="8" t="inlineStr">
        <is>
          <t>Disneyland Park</t>
        </is>
      </c>
      <c r="E25191" s="8" t="inlineStr">
        <is>
          <t>Welcome to Starport: A Star Wars Encounter</t>
        </is>
      </c>
      <c r="F25191" s="8" t="inlineStr">
        <is>
          <t>STANDBY</t>
        </is>
      </c>
      <c r="G25191" s="8" t="n">
        <v>40</v>
      </c>
      <c r="H25191" s="8" t="inlineStr">
        <is>
          <t>OPERATING</t>
        </is>
      </c>
    </row>
    <row r="25192">
      <c r="A25192" s="8" t="inlineStr">
        <is>
          <t>2026-08-05</t>
        </is>
      </c>
      <c r="B25192" s="8" t="n">
        <v>15</v>
      </c>
      <c r="C25192" s="8" t="n">
        <v>1</v>
      </c>
      <c r="D25192" s="8" t="inlineStr">
        <is>
          <t>Disneyland Park</t>
        </is>
      </c>
      <c r="E25192" s="8" t="inlineStr">
        <is>
          <t>"it's a small world"</t>
        </is>
      </c>
      <c r="F25192" s="8" t="inlineStr">
        <is>
          <t>STANDBY</t>
        </is>
      </c>
      <c r="G25192" s="8" t="n">
        <v>15</v>
      </c>
      <c r="H25192" s="8" t="inlineStr">
        <is>
          <t>OPERATING</t>
        </is>
      </c>
    </row>
    <row r="25193">
      <c r="A25193" s="8" t="inlineStr">
        <is>
          <t>2026-08-05</t>
        </is>
      </c>
      <c r="B25193" s="8" t="n">
        <v>15</v>
      </c>
      <c r="C25193" s="8" t="n">
        <v>1</v>
      </c>
      <c r="D25193" s="8" t="inlineStr">
        <is>
          <t>Disneyland Park</t>
        </is>
      </c>
      <c r="E25193" s="8" t="inlineStr">
        <is>
          <t>Alice's Curious Labyrinth</t>
        </is>
      </c>
      <c r="F25193" s="8" t="inlineStr">
        <is>
          <t>STANDBY</t>
        </is>
      </c>
      <c r="G25193" s="8" t="n">
        <v>5</v>
      </c>
      <c r="H25193" s="8" t="inlineStr">
        <is>
          <t>OPERATING</t>
        </is>
      </c>
    </row>
    <row r="25194">
      <c r="A25194" s="8" t="inlineStr">
        <is>
          <t>2026-08-05</t>
        </is>
      </c>
      <c r="B25194" s="8" t="n">
        <v>15</v>
      </c>
      <c r="C25194" s="8" t="n">
        <v>1</v>
      </c>
      <c r="D25194" s="8" t="inlineStr">
        <is>
          <t>Disneyland Park</t>
        </is>
      </c>
      <c r="E25194" s="8" t="inlineStr">
        <is>
          <t>Blanche-Neige et les Sept Nains®</t>
        </is>
      </c>
      <c r="F25194" s="8" t="inlineStr">
        <is>
          <t>STANDBY</t>
        </is>
      </c>
      <c r="G25194" s="8" t="n">
        <v>5</v>
      </c>
      <c r="H25194" s="8" t="inlineStr">
        <is>
          <t>OPERATING</t>
        </is>
      </c>
    </row>
    <row r="25195">
      <c r="A25195" s="8" t="inlineStr">
        <is>
          <t>2026-08-05</t>
        </is>
      </c>
      <c r="B25195" s="8" t="n">
        <v>15</v>
      </c>
      <c r="C25195" s="8" t="n">
        <v>1</v>
      </c>
      <c r="D25195" s="8" t="inlineStr">
        <is>
          <t>Disneyland Park</t>
        </is>
      </c>
      <c r="E25195" s="8" t="inlineStr">
        <is>
          <t>Casey Jr. – le Petit Train du Cirque</t>
        </is>
      </c>
      <c r="F25195" s="8" t="inlineStr">
        <is>
          <t>STANDBY</t>
        </is>
      </c>
      <c r="G25195" s="8" t="n">
        <v>20</v>
      </c>
      <c r="H25195" s="8" t="inlineStr">
        <is>
          <t>OPERATING</t>
        </is>
      </c>
    </row>
    <row r="25196">
      <c r="A25196" s="8" t="inlineStr">
        <is>
          <t>2026-08-05</t>
        </is>
      </c>
      <c r="B25196" s="8" t="n">
        <v>15</v>
      </c>
      <c r="C25196" s="8" t="n">
        <v>1</v>
      </c>
      <c r="D25196" s="8" t="inlineStr">
        <is>
          <t>Disneyland Park</t>
        </is>
      </c>
      <c r="E25196" s="8" t="inlineStr">
        <is>
          <t>Disneyland Railroad Fantasyland Station</t>
        </is>
      </c>
      <c r="F25196" s="8" t="inlineStr">
        <is>
          <t>STANDBY</t>
        </is>
      </c>
      <c r="G25196" s="8" t="n">
        <v>0</v>
      </c>
      <c r="H25196" s="8" t="inlineStr">
        <is>
          <t>CLOSED</t>
        </is>
      </c>
    </row>
    <row r="25197">
      <c r="A25197" s="8" t="inlineStr">
        <is>
          <t>2026-08-05</t>
        </is>
      </c>
      <c r="B25197" s="8" t="n">
        <v>15</v>
      </c>
      <c r="C25197" s="8" t="n">
        <v>1</v>
      </c>
      <c r="D25197" s="8" t="inlineStr">
        <is>
          <t>Disneyland Park</t>
        </is>
      </c>
      <c r="E25197" s="8" t="inlineStr">
        <is>
          <t>Disneyland Railroad Main Street Station</t>
        </is>
      </c>
      <c r="F25197" s="8" t="inlineStr">
        <is>
          <t>STANDBY</t>
        </is>
      </c>
      <c r="G25197" s="8" t="n">
        <v>10</v>
      </c>
      <c r="H25197" s="8" t="inlineStr">
        <is>
          <t>OPERATING</t>
        </is>
      </c>
    </row>
    <row r="25198">
      <c r="A25198" s="8" t="inlineStr">
        <is>
          <t>2026-08-05</t>
        </is>
      </c>
      <c r="B25198" s="8" t="n">
        <v>15</v>
      </c>
      <c r="C25198" s="8" t="n">
        <v>1</v>
      </c>
      <c r="D25198" s="8" t="inlineStr">
        <is>
          <t>Disneyland Park</t>
        </is>
      </c>
      <c r="E25198" s="8" t="inlineStr">
        <is>
          <t>Dumbo the Flying Elephant</t>
        </is>
      </c>
      <c r="F25198" s="8" t="inlineStr">
        <is>
          <t>STANDBY</t>
        </is>
      </c>
      <c r="G25198" s="8" t="n">
        <v>35</v>
      </c>
      <c r="H25198" s="8" t="inlineStr">
        <is>
          <t>OPERATING</t>
        </is>
      </c>
    </row>
    <row r="25199">
      <c r="A25199" s="8" t="inlineStr">
        <is>
          <t>2026-08-05</t>
        </is>
      </c>
      <c r="B25199" s="8" t="n">
        <v>15</v>
      </c>
      <c r="C25199" s="8" t="n">
        <v>1</v>
      </c>
      <c r="D25199" s="8" t="inlineStr">
        <is>
          <t>Disneyland Park</t>
        </is>
      </c>
      <c r="E25199" s="8" t="inlineStr">
        <is>
          <t>La Tanière du Dragon</t>
        </is>
      </c>
      <c r="F25199" s="8" t="inlineStr">
        <is>
          <t>STANDBY</t>
        </is>
      </c>
      <c r="G25199" s="8" t="n">
        <v>0</v>
      </c>
      <c r="H25199" s="8" t="inlineStr">
        <is>
          <t>OPERATING</t>
        </is>
      </c>
    </row>
    <row r="25200">
      <c r="A25200" s="8" t="inlineStr">
        <is>
          <t>2026-08-05</t>
        </is>
      </c>
      <c r="B25200" s="8" t="n">
        <v>15</v>
      </c>
      <c r="C25200" s="8" t="n">
        <v>1</v>
      </c>
      <c r="D25200" s="8" t="inlineStr">
        <is>
          <t>Disneyland Park</t>
        </is>
      </c>
      <c r="E25200" s="8" t="inlineStr">
        <is>
          <t>Le Carrousel de Lancelot</t>
        </is>
      </c>
      <c r="F25200" s="8" t="inlineStr">
        <is>
          <t>STANDBY</t>
        </is>
      </c>
      <c r="G25200" s="8" t="n">
        <v>15</v>
      </c>
      <c r="H25200" s="8" t="inlineStr">
        <is>
          <t>OPERATING</t>
        </is>
      </c>
    </row>
    <row r="25201">
      <c r="A25201" s="8" t="inlineStr">
        <is>
          <t>2026-08-05</t>
        </is>
      </c>
      <c r="B25201" s="8" t="n">
        <v>15</v>
      </c>
      <c r="C25201" s="8" t="n">
        <v>1</v>
      </c>
      <c r="D25201" s="8" t="inlineStr">
        <is>
          <t>Disneyland Park</t>
        </is>
      </c>
      <c r="E25201" s="8" t="inlineStr">
        <is>
          <t>Le Pays des Contes de Fées, presented by Vittel</t>
        </is>
      </c>
      <c r="F25201" s="8" t="inlineStr">
        <is>
          <t>STANDBY</t>
        </is>
      </c>
      <c r="G25201" s="8" t="n">
        <v>5</v>
      </c>
      <c r="H25201" s="8" t="inlineStr">
        <is>
          <t>OPERATING</t>
        </is>
      </c>
    </row>
    <row r="25202">
      <c r="A25202" s="8" t="inlineStr">
        <is>
          <t>2026-08-05</t>
        </is>
      </c>
      <c r="B25202" s="8" t="n">
        <v>15</v>
      </c>
      <c r="C25202" s="8" t="n">
        <v>1</v>
      </c>
      <c r="D25202" s="8" t="inlineStr">
        <is>
          <t>Disneyland Park</t>
        </is>
      </c>
      <c r="E25202" s="8" t="inlineStr">
        <is>
          <t>Les Voyages de Pinocchio</t>
        </is>
      </c>
      <c r="F25202" s="8" t="inlineStr">
        <is>
          <t>STANDBY</t>
        </is>
      </c>
      <c r="G25202" s="8" t="n">
        <v>25</v>
      </c>
      <c r="H25202" s="8" t="inlineStr">
        <is>
          <t>OPERATING</t>
        </is>
      </c>
    </row>
    <row r="25203">
      <c r="A25203" s="8" t="inlineStr">
        <is>
          <t>2026-08-05</t>
        </is>
      </c>
      <c r="B25203" s="8" t="n">
        <v>15</v>
      </c>
      <c r="C25203" s="8" t="n">
        <v>1</v>
      </c>
      <c r="D25203" s="8" t="inlineStr">
        <is>
          <t>Disneyland Park</t>
        </is>
      </c>
      <c r="E25203" s="8" t="inlineStr">
        <is>
          <t>Mad Hatter's Tea Cups</t>
        </is>
      </c>
      <c r="F25203" s="8" t="inlineStr">
        <is>
          <t>STANDBY</t>
        </is>
      </c>
      <c r="G25203" s="8" t="n">
        <v>10</v>
      </c>
      <c r="H25203" s="8" t="inlineStr">
        <is>
          <t>OPERATING</t>
        </is>
      </c>
    </row>
    <row r="25204">
      <c r="A25204" s="8" t="inlineStr">
        <is>
          <t>2026-08-05</t>
        </is>
      </c>
      <c r="B25204" s="8" t="n">
        <v>15</v>
      </c>
      <c r="C25204" s="8" t="n">
        <v>1</v>
      </c>
      <c r="D25204" s="8" t="inlineStr">
        <is>
          <t>Disneyland Park</t>
        </is>
      </c>
      <c r="E25204" s="8" t="inlineStr">
        <is>
          <t>Meet Mickey Mouse</t>
        </is>
      </c>
      <c r="F25204" s="8" t="inlineStr">
        <is>
          <t>STANDBY</t>
        </is>
      </c>
      <c r="G25204" s="8" t="n">
        <v>0</v>
      </c>
      <c r="H25204" s="8" t="inlineStr">
        <is>
          <t>OPERATING</t>
        </is>
      </c>
    </row>
    <row r="25205">
      <c r="A25205" s="8" t="inlineStr">
        <is>
          <t>2026-08-05</t>
        </is>
      </c>
      <c r="B25205" s="8" t="n">
        <v>15</v>
      </c>
      <c r="C25205" s="8" t="n">
        <v>1</v>
      </c>
      <c r="D25205" s="8" t="inlineStr">
        <is>
          <t>Disneyland Park</t>
        </is>
      </c>
      <c r="E25205" s="8" t="inlineStr">
        <is>
          <t>Peter Pan's Flight</t>
        </is>
      </c>
      <c r="F25205" s="8" t="inlineStr">
        <is>
          <t>STANDBY</t>
        </is>
      </c>
      <c r="G25205" s="8" t="n">
        <v>70</v>
      </c>
      <c r="H25205" s="8" t="inlineStr">
        <is>
          <t>OPERATING</t>
        </is>
      </c>
    </row>
    <row r="25206">
      <c r="A25206" s="8" t="inlineStr">
        <is>
          <t>2026-08-05</t>
        </is>
      </c>
      <c r="B25206" s="8" t="n">
        <v>15</v>
      </c>
      <c r="C25206" s="8" t="n">
        <v>1</v>
      </c>
      <c r="D25206" s="8" t="inlineStr">
        <is>
          <t>Disneyland Park</t>
        </is>
      </c>
      <c r="E25206" s="8" t="inlineStr">
        <is>
          <t>Princess Pavilion</t>
        </is>
      </c>
      <c r="F25206" s="8" t="inlineStr">
        <is>
          <t>STANDBY</t>
        </is>
      </c>
      <c r="G25206" s="8" t="n">
        <v>0</v>
      </c>
      <c r="H25206" s="8" t="inlineStr">
        <is>
          <t>OPERATING</t>
        </is>
      </c>
    </row>
    <row r="25207">
      <c r="A25207" s="8" t="inlineStr">
        <is>
          <t>2026-08-05</t>
        </is>
      </c>
      <c r="B25207" s="8" t="n">
        <v>15</v>
      </c>
      <c r="C25207" s="8" t="n">
        <v>1</v>
      </c>
      <c r="D25207" s="8" t="inlineStr">
        <is>
          <t>Disneyland Park</t>
        </is>
      </c>
      <c r="E25207" s="8" t="inlineStr">
        <is>
          <t>Big Thunder Mountain</t>
        </is>
      </c>
      <c r="F25207" s="8" t="inlineStr">
        <is>
          <t>STANDBY</t>
        </is>
      </c>
      <c r="G25207" s="8" t="n">
        <v>80</v>
      </c>
      <c r="H25207" s="8" t="inlineStr">
        <is>
          <t>OPERATING</t>
        </is>
      </c>
    </row>
    <row r="25208">
      <c r="A25208" s="8" t="inlineStr">
        <is>
          <t>2026-08-05</t>
        </is>
      </c>
      <c r="B25208" s="8" t="n">
        <v>15</v>
      </c>
      <c r="C25208" s="8" t="n">
        <v>1</v>
      </c>
      <c r="D25208" s="8" t="inlineStr">
        <is>
          <t>Disneyland Park</t>
        </is>
      </c>
      <c r="E25208" s="8" t="inlineStr">
        <is>
          <t>Disneyland Railroad Frontierland Depot</t>
        </is>
      </c>
      <c r="F25208" s="8" t="inlineStr">
        <is>
          <t>STANDBY</t>
        </is>
      </c>
      <c r="G25208" s="8" t="n">
        <v>10</v>
      </c>
      <c r="H25208" s="8" t="inlineStr">
        <is>
          <t>OPERATING</t>
        </is>
      </c>
    </row>
    <row r="25209">
      <c r="A25209" s="8" t="inlineStr">
        <is>
          <t>2026-08-05</t>
        </is>
      </c>
      <c r="B25209" s="8" t="n">
        <v>15</v>
      </c>
      <c r="C25209" s="8" t="n">
        <v>1</v>
      </c>
      <c r="D25209" s="8" t="inlineStr">
        <is>
          <t>Disneyland Park</t>
        </is>
      </c>
      <c r="E25209" s="8" t="inlineStr">
        <is>
          <t>Frontierland Playground</t>
        </is>
      </c>
      <c r="F25209" s="8" t="inlineStr">
        <is>
          <t>STANDBY</t>
        </is>
      </c>
      <c r="G25209" s="8" t="n">
        <v>0</v>
      </c>
      <c r="H25209" s="8" t="inlineStr">
        <is>
          <t>OPERATING</t>
        </is>
      </c>
    </row>
    <row r="25210">
      <c r="A25210" s="8" t="inlineStr">
        <is>
          <t>2026-08-05</t>
        </is>
      </c>
      <c r="B25210" s="8" t="n">
        <v>15</v>
      </c>
      <c r="C25210" s="8" t="n">
        <v>1</v>
      </c>
      <c r="D25210" s="8" t="inlineStr">
        <is>
          <t>Disneyland Park</t>
        </is>
      </c>
      <c r="E25210" s="8" t="inlineStr">
        <is>
          <t>Phantom Manor</t>
        </is>
      </c>
      <c r="F25210" s="8" t="inlineStr">
        <is>
          <t>STANDBY</t>
        </is>
      </c>
      <c r="G25210" s="8" t="n">
        <v>20</v>
      </c>
      <c r="H25210" s="8" t="inlineStr">
        <is>
          <t>OPERATING</t>
        </is>
      </c>
    </row>
    <row r="25211">
      <c r="A25211" s="8" t="inlineStr">
        <is>
          <t>2026-08-05</t>
        </is>
      </c>
      <c r="B25211" s="8" t="n">
        <v>15</v>
      </c>
      <c r="C25211" s="8" t="n">
        <v>1</v>
      </c>
      <c r="D25211" s="8" t="inlineStr">
        <is>
          <t>Disneyland Park</t>
        </is>
      </c>
      <c r="E25211" s="8" t="inlineStr">
        <is>
          <t>River Rogue Keelboats</t>
        </is>
      </c>
      <c r="F25211" s="8" t="inlineStr">
        <is>
          <t>STANDBY</t>
        </is>
      </c>
      <c r="G25211" s="8" t="n">
        <v>0</v>
      </c>
      <c r="H25211" s="8" t="inlineStr">
        <is>
          <t>CLOSED</t>
        </is>
      </c>
    </row>
    <row r="25212">
      <c r="A25212" s="8" t="inlineStr">
        <is>
          <t>2026-08-05</t>
        </is>
      </c>
      <c r="B25212" s="8" t="n">
        <v>15</v>
      </c>
      <c r="C25212" s="8" t="n">
        <v>1</v>
      </c>
      <c r="D25212" s="8" t="inlineStr">
        <is>
          <t>Disneyland Park</t>
        </is>
      </c>
      <c r="E25212" s="8" t="inlineStr">
        <is>
          <t>Rustler Roundup Shootin' Gallery</t>
        </is>
      </c>
      <c r="F25212" s="8" t="inlineStr">
        <is>
          <t>STANDBY</t>
        </is>
      </c>
      <c r="G25212" s="8" t="n">
        <v>0</v>
      </c>
      <c r="H25212" s="8" t="inlineStr">
        <is>
          <t>OPERATING</t>
        </is>
      </c>
    </row>
    <row r="25213">
      <c r="A25213" s="8" t="inlineStr">
        <is>
          <t>2026-08-05</t>
        </is>
      </c>
      <c r="B25213" s="8" t="n">
        <v>15</v>
      </c>
      <c r="C25213" s="8" t="n">
        <v>1</v>
      </c>
      <c r="D25213" s="8" t="inlineStr">
        <is>
          <t>Disneyland Park</t>
        </is>
      </c>
      <c r="E25213" s="8" t="inlineStr">
        <is>
          <t>Thunder Mesa Riverboat Landing</t>
        </is>
      </c>
      <c r="F25213" s="8" t="inlineStr">
        <is>
          <t>STANDBY</t>
        </is>
      </c>
      <c r="G25213" s="8" t="n">
        <v>20</v>
      </c>
      <c r="H25213" s="8" t="inlineStr">
        <is>
          <t>OPERATING</t>
        </is>
      </c>
    </row>
    <row r="25214">
      <c r="A25214" s="8" t="inlineStr">
        <is>
          <t>2026-08-05</t>
        </is>
      </c>
      <c r="B25214" s="8" t="n">
        <v>15</v>
      </c>
      <c r="C25214" s="8" t="n">
        <v>1</v>
      </c>
      <c r="D25214" s="8" t="inlineStr">
        <is>
          <t>Disneyland Park</t>
        </is>
      </c>
      <c r="E25214" s="8" t="inlineStr">
        <is>
          <t>Disneyland Railroad Main Street Station</t>
        </is>
      </c>
      <c r="F25214" s="8" t="inlineStr">
        <is>
          <t>STANDBY</t>
        </is>
      </c>
      <c r="G25214" s="8" t="n">
        <v>0</v>
      </c>
      <c r="H25214" s="8" t="inlineStr">
        <is>
          <t>OPERATING</t>
        </is>
      </c>
    </row>
    <row r="25215">
      <c r="A25215" s="8" t="inlineStr">
        <is>
          <t>2026-08-05</t>
        </is>
      </c>
      <c r="B25215" s="8" t="n">
        <v>15</v>
      </c>
      <c r="C25215" s="8" t="n">
        <v>1</v>
      </c>
      <c r="D25215" s="8" t="inlineStr">
        <is>
          <t>Disneyland Park</t>
        </is>
      </c>
      <c r="E25215" s="8" t="inlineStr">
        <is>
          <t>Main Street Vehicles</t>
        </is>
      </c>
      <c r="F25215" s="8" t="inlineStr">
        <is>
          <t>STANDBY</t>
        </is>
      </c>
      <c r="G25215" s="8" t="n">
        <v>0</v>
      </c>
      <c r="H25215" s="8" t="inlineStr">
        <is>
          <t>CLOSED</t>
        </is>
      </c>
    </row>
    <row r="25216">
      <c r="A25216" s="8" t="inlineStr">
        <is>
          <t>2026-08-05</t>
        </is>
      </c>
      <c r="B25216" s="8" t="n">
        <v>15</v>
      </c>
      <c r="C25216" s="8" t="n">
        <v>1</v>
      </c>
      <c r="D25216" s="8" t="inlineStr">
        <is>
          <t>Disney Adventure World</t>
        </is>
      </c>
      <c r="E25216" s="8" t="inlineStr">
        <is>
          <t>Avengers Assemble: Flight Force</t>
        </is>
      </c>
      <c r="F25216" s="8" t="inlineStr">
        <is>
          <t>STANDBY</t>
        </is>
      </c>
      <c r="G25216" s="8" t="n">
        <v>30</v>
      </c>
      <c r="H25216" s="8" t="inlineStr">
        <is>
          <t>OPERATING</t>
        </is>
      </c>
    </row>
    <row r="25217">
      <c r="A25217" s="8" t="inlineStr">
        <is>
          <t>2026-08-05</t>
        </is>
      </c>
      <c r="B25217" s="8" t="n">
        <v>15</v>
      </c>
      <c r="C25217" s="8" t="n">
        <v>1</v>
      </c>
      <c r="D25217" s="8" t="inlineStr">
        <is>
          <t>Disney Adventure World</t>
        </is>
      </c>
      <c r="E25217" s="8" t="inlineStr">
        <is>
          <t>Avengers Assemble: Flight Force Single Rider</t>
        </is>
      </c>
      <c r="F25217" s="8" t="inlineStr">
        <is>
          <t>STANDBY</t>
        </is>
      </c>
      <c r="G25217" s="8" t="n">
        <v>25</v>
      </c>
      <c r="H25217" s="8" t="inlineStr">
        <is>
          <t>OPERATING</t>
        </is>
      </c>
    </row>
    <row r="25218">
      <c r="A25218" s="8" t="inlineStr">
        <is>
          <t>2026-08-05</t>
        </is>
      </c>
      <c r="B25218" s="8" t="n">
        <v>15</v>
      </c>
      <c r="C25218" s="8" t="n">
        <v>1</v>
      </c>
      <c r="D25218" s="8" t="inlineStr">
        <is>
          <t>Disney Adventure World</t>
        </is>
      </c>
      <c r="E25218" s="8" t="inlineStr">
        <is>
          <t>Spider-Man W.E.B. Adventure</t>
        </is>
      </c>
      <c r="F25218" s="8" t="inlineStr">
        <is>
          <t>STANDBY</t>
        </is>
      </c>
      <c r="G25218" s="8" t="n">
        <v>60</v>
      </c>
      <c r="H25218" s="8" t="inlineStr">
        <is>
          <t>OPERATING</t>
        </is>
      </c>
    </row>
    <row r="25219">
      <c r="A25219" s="8" t="inlineStr">
        <is>
          <t>2026-08-05</t>
        </is>
      </c>
      <c r="B25219" s="8" t="n">
        <v>15</v>
      </c>
      <c r="C25219" s="8" t="n">
        <v>1</v>
      </c>
      <c r="D25219" s="8" t="inlineStr">
        <is>
          <t>Disney Adventure World</t>
        </is>
      </c>
      <c r="E25219" s="8" t="inlineStr">
        <is>
          <t>Spider-Man W.E.B. Adventure Single Rider</t>
        </is>
      </c>
      <c r="F25219" s="8" t="inlineStr">
        <is>
          <t>STANDBY</t>
        </is>
      </c>
      <c r="G25219" s="8" t="n">
        <v>30</v>
      </c>
      <c r="H25219" s="8" t="inlineStr">
        <is>
          <t>OPERATING</t>
        </is>
      </c>
    </row>
    <row r="25220">
      <c r="A25220" s="8" t="inlineStr">
        <is>
          <t>2026-08-05</t>
        </is>
      </c>
      <c r="B25220" s="8" t="n">
        <v>15</v>
      </c>
      <c r="C25220" s="8" t="n">
        <v>1</v>
      </c>
      <c r="D25220" s="8" t="inlineStr">
        <is>
          <t>Disney Adventure World</t>
        </is>
      </c>
      <c r="E25220" s="8" t="inlineStr">
        <is>
          <t>The Twilight Zone Tower of Terror</t>
        </is>
      </c>
      <c r="F25220" s="8" t="inlineStr">
        <is>
          <t>STANDBY</t>
        </is>
      </c>
      <c r="G25220" s="8" t="n">
        <v>25</v>
      </c>
      <c r="H25220" s="8" t="inlineStr">
        <is>
          <t>OPERATING</t>
        </is>
      </c>
    </row>
    <row r="25221">
      <c r="A25221" s="8" t="inlineStr">
        <is>
          <t>2026-08-05</t>
        </is>
      </c>
      <c r="B25221" s="8" t="n">
        <v>15</v>
      </c>
      <c r="C25221" s="8" t="n">
        <v>1</v>
      </c>
      <c r="D25221" s="8" t="inlineStr">
        <is>
          <t>Disney Adventure World</t>
        </is>
      </c>
      <c r="E25221" s="8" t="inlineStr">
        <is>
          <t>Cars Quatre Roues Rallye</t>
        </is>
      </c>
      <c r="F25221" s="8" t="inlineStr">
        <is>
          <t>STANDBY</t>
        </is>
      </c>
      <c r="G25221" s="8" t="n">
        <v>20</v>
      </c>
      <c r="H25221" s="8" t="inlineStr">
        <is>
          <t>OPERATING</t>
        </is>
      </c>
    </row>
    <row r="25222">
      <c r="A25222" s="8" t="inlineStr">
        <is>
          <t>2026-08-05</t>
        </is>
      </c>
      <c r="B25222" s="8" t="n">
        <v>15</v>
      </c>
      <c r="C25222" s="8" t="n">
        <v>1</v>
      </c>
      <c r="D25222" s="8" t="inlineStr">
        <is>
          <t>Disney Adventure World</t>
        </is>
      </c>
      <c r="E25222" s="8" t="inlineStr">
        <is>
          <t>Cars ROAD TRIP</t>
        </is>
      </c>
      <c r="F25222" s="8" t="inlineStr">
        <is>
          <t>STANDBY</t>
        </is>
      </c>
      <c r="G25222" s="8" t="n">
        <v>20</v>
      </c>
      <c r="H25222" s="8" t="inlineStr">
        <is>
          <t>OPERATING</t>
        </is>
      </c>
    </row>
    <row r="25223">
      <c r="A25223" s="8" t="inlineStr">
        <is>
          <t>2026-08-05</t>
        </is>
      </c>
      <c r="B25223" s="8" t="n">
        <v>15</v>
      </c>
      <c r="C25223" s="8" t="n">
        <v>1</v>
      </c>
      <c r="D25223" s="8" t="inlineStr">
        <is>
          <t>Disney Adventure World</t>
        </is>
      </c>
      <c r="E25223" s="8" t="inlineStr">
        <is>
          <t>Crush's Coaster</t>
        </is>
      </c>
      <c r="F25223" s="8" t="inlineStr">
        <is>
          <t>STANDBY</t>
        </is>
      </c>
      <c r="G25223" s="8" t="n">
        <v>80</v>
      </c>
      <c r="H25223" s="8" t="inlineStr">
        <is>
          <t>OPERATING</t>
        </is>
      </c>
    </row>
    <row r="25224">
      <c r="A25224" s="8" t="inlineStr">
        <is>
          <t>2026-08-05</t>
        </is>
      </c>
      <c r="B25224" s="8" t="n">
        <v>15</v>
      </c>
      <c r="C25224" s="8" t="n">
        <v>1</v>
      </c>
      <c r="D25224" s="8" t="inlineStr">
        <is>
          <t>Disney Adventure World</t>
        </is>
      </c>
      <c r="E25224" s="8" t="inlineStr">
        <is>
          <t>Crush's Coaster Single Rider</t>
        </is>
      </c>
      <c r="F25224" s="8" t="inlineStr">
        <is>
          <t>STANDBY</t>
        </is>
      </c>
      <c r="G25224" s="8" t="n">
        <v>70</v>
      </c>
      <c r="H25224" s="8" t="inlineStr">
        <is>
          <t>OPERATING</t>
        </is>
      </c>
    </row>
    <row r="25225">
      <c r="A25225" s="8" t="inlineStr">
        <is>
          <t>2026-08-05</t>
        </is>
      </c>
      <c r="B25225" s="8" t="n">
        <v>15</v>
      </c>
      <c r="C25225" s="8" t="n">
        <v>1</v>
      </c>
      <c r="D25225" s="8" t="inlineStr">
        <is>
          <t>Disney Adventure World</t>
        </is>
      </c>
      <c r="E25225" s="8" t="inlineStr">
        <is>
          <t>Les Tapis Volants - Flying Carpets Over Agrabah®</t>
        </is>
      </c>
      <c r="F25225" s="8" t="inlineStr">
        <is>
          <t>STANDBY</t>
        </is>
      </c>
      <c r="G25225" s="8" t="n">
        <v>35</v>
      </c>
      <c r="H25225" s="8" t="inlineStr">
        <is>
          <t>OPERATING</t>
        </is>
      </c>
    </row>
    <row r="25226">
      <c r="A25226" s="8" t="inlineStr">
        <is>
          <t>2026-08-05</t>
        </is>
      </c>
      <c r="B25226" s="8" t="n">
        <v>15</v>
      </c>
      <c r="C25226" s="8" t="n">
        <v>1</v>
      </c>
      <c r="D25226" s="8" t="inlineStr">
        <is>
          <t>Disney Adventure World</t>
        </is>
      </c>
      <c r="E25226" s="8" t="inlineStr">
        <is>
          <t>Ratatouille : L’Aventure Totalement Toquée de Rémy​</t>
        </is>
      </c>
      <c r="F25226" s="8" t="inlineStr">
        <is>
          <t>STANDBY</t>
        </is>
      </c>
      <c r="G25226" s="8" t="n">
        <v>65</v>
      </c>
      <c r="H25226" s="8" t="inlineStr">
        <is>
          <t>OPERATING</t>
        </is>
      </c>
    </row>
    <row r="25227">
      <c r="A25227" s="8" t="inlineStr">
        <is>
          <t>2026-08-05</t>
        </is>
      </c>
      <c r="B25227" s="8" t="n">
        <v>15</v>
      </c>
      <c r="C25227" s="8" t="n">
        <v>1</v>
      </c>
      <c r="D25227" s="8" t="inlineStr">
        <is>
          <t>Disney Adventure World</t>
        </is>
      </c>
      <c r="E25227" s="8" t="inlineStr">
        <is>
          <t>Ratatouille: The Adventure Single Rider</t>
        </is>
      </c>
      <c r="F25227" s="8" t="inlineStr">
        <is>
          <t>STANDBY</t>
        </is>
      </c>
      <c r="G25227" s="8" t="n">
        <v>20</v>
      </c>
      <c r="H25227" s="8" t="inlineStr">
        <is>
          <t>OPERATING</t>
        </is>
      </c>
    </row>
    <row r="25228">
      <c r="A25228" s="8" t="inlineStr">
        <is>
          <t>2026-08-05</t>
        </is>
      </c>
      <c r="B25228" s="8" t="n">
        <v>15</v>
      </c>
      <c r="C25228" s="8" t="n">
        <v>1</v>
      </c>
      <c r="D25228" s="8" t="inlineStr">
        <is>
          <t>Disney Adventure World</t>
        </is>
      </c>
      <c r="E25228" s="8" t="inlineStr">
        <is>
          <t>RC Racer</t>
        </is>
      </c>
      <c r="F25228" s="8" t="inlineStr">
        <is>
          <t>STANDBY</t>
        </is>
      </c>
      <c r="G25228" s="8" t="n">
        <v>55</v>
      </c>
      <c r="H25228" s="8" t="inlineStr">
        <is>
          <t>OPERATING</t>
        </is>
      </c>
    </row>
    <row r="25229">
      <c r="A25229" s="8" t="inlineStr">
        <is>
          <t>2026-08-05</t>
        </is>
      </c>
      <c r="B25229" s="8" t="n">
        <v>15</v>
      </c>
      <c r="C25229" s="8" t="n">
        <v>1</v>
      </c>
      <c r="D25229" s="8" t="inlineStr">
        <is>
          <t>Disney Adventure World</t>
        </is>
      </c>
      <c r="E25229" s="8" t="inlineStr">
        <is>
          <t>RC Racer Single Rider</t>
        </is>
      </c>
      <c r="F25229" s="8" t="inlineStr">
        <is>
          <t>STANDBY</t>
        </is>
      </c>
      <c r="G25229" s="8" t="n">
        <v>50</v>
      </c>
      <c r="H25229" s="8" t="inlineStr">
        <is>
          <t>OPERATING</t>
        </is>
      </c>
    </row>
    <row r="25230">
      <c r="A25230" s="8" t="inlineStr">
        <is>
          <t>2026-08-05</t>
        </is>
      </c>
      <c r="B25230" s="8" t="n">
        <v>15</v>
      </c>
      <c r="C25230" s="8" t="n">
        <v>1</v>
      </c>
      <c r="D25230" s="8" t="inlineStr">
        <is>
          <t>Disney Adventure World</t>
        </is>
      </c>
      <c r="E25230" s="8" t="inlineStr">
        <is>
          <t>Slinky® Dog Zigzag Spin</t>
        </is>
      </c>
      <c r="F25230" s="8" t="inlineStr">
        <is>
          <t>STANDBY</t>
        </is>
      </c>
      <c r="G25230" s="8" t="n">
        <v>15</v>
      </c>
      <c r="H25230" s="8" t="inlineStr">
        <is>
          <t>OPERATING</t>
        </is>
      </c>
    </row>
    <row r="25231">
      <c r="A25231" s="8" t="inlineStr">
        <is>
          <t>2026-08-05</t>
        </is>
      </c>
      <c r="B25231" s="8" t="n">
        <v>15</v>
      </c>
      <c r="C25231" s="8" t="n">
        <v>1</v>
      </c>
      <c r="D25231" s="8" t="inlineStr">
        <is>
          <t>Disney Adventure World</t>
        </is>
      </c>
      <c r="E25231" s="8" t="inlineStr">
        <is>
          <t>Toy Soldiers Parachute Drop</t>
        </is>
      </c>
      <c r="F25231" s="8" t="inlineStr">
        <is>
          <t>STANDBY</t>
        </is>
      </c>
      <c r="G25231" s="8" t="n">
        <v>50</v>
      </c>
      <c r="H25231" s="8" t="inlineStr">
        <is>
          <t>OPERATING</t>
        </is>
      </c>
    </row>
    <row r="25232">
      <c r="A25232" s="8" t="inlineStr">
        <is>
          <t>2026-08-05</t>
        </is>
      </c>
      <c r="B25232" s="8" t="n">
        <v>15</v>
      </c>
      <c r="C25232" s="8" t="n">
        <v>1</v>
      </c>
      <c r="D25232" s="8" t="inlineStr">
        <is>
          <t>Disney Adventure World</t>
        </is>
      </c>
      <c r="E25232" s="8" t="inlineStr">
        <is>
          <t>Toy Soldiers Parachute Drop Single Rider</t>
        </is>
      </c>
      <c r="F25232" s="8" t="inlineStr">
        <is>
          <t>STANDBY</t>
        </is>
      </c>
      <c r="G25232" s="8" t="n">
        <v>20</v>
      </c>
      <c r="H25232" s="8" t="inlineStr">
        <is>
          <t>OPERATING</t>
        </is>
      </c>
    </row>
    <row r="25233">
      <c r="A25233" s="8" t="inlineStr">
        <is>
          <t>2026-08-05</t>
        </is>
      </c>
      <c r="B25233" s="8" t="n">
        <v>15</v>
      </c>
      <c r="C25233" s="8" t="n">
        <v>1</v>
      </c>
      <c r="D25233" s="8" t="inlineStr">
        <is>
          <t>Disney Adventure World</t>
        </is>
      </c>
      <c r="E25233" s="8" t="inlineStr">
        <is>
          <t>Entry to World of Frozen</t>
        </is>
      </c>
      <c r="F25233" s="8" t="inlineStr">
        <is>
          <t>STANDBY</t>
        </is>
      </c>
      <c r="G25233" s="8" t="n">
        <v>0</v>
      </c>
      <c r="H25233" s="8" t="inlineStr">
        <is>
          <t>OPERATING</t>
        </is>
      </c>
    </row>
    <row r="25234">
      <c r="A25234" s="8" t="inlineStr">
        <is>
          <t>2026-08-05</t>
        </is>
      </c>
      <c r="B25234" s="8" t="n">
        <v>15</v>
      </c>
      <c r="C25234" s="8" t="n">
        <v>1</v>
      </c>
      <c r="D25234" s="8" t="inlineStr">
        <is>
          <t>Disney Adventure World</t>
        </is>
      </c>
      <c r="E25234" s="8" t="inlineStr">
        <is>
          <t>Frozen Ever After</t>
        </is>
      </c>
      <c r="F25234" s="8" t="inlineStr">
        <is>
          <t>STANDBY</t>
        </is>
      </c>
      <c r="G25234" s="8" t="n">
        <v>65</v>
      </c>
      <c r="H25234" s="8" t="inlineStr">
        <is>
          <t>OPERATING</t>
        </is>
      </c>
    </row>
    <row r="25235">
      <c r="A25235" s="8" t="inlineStr">
        <is>
          <t>2026-08-05</t>
        </is>
      </c>
      <c r="B25235" s="8" t="n">
        <v>15</v>
      </c>
      <c r="C25235" s="8" t="n">
        <v>1</v>
      </c>
      <c r="D25235" s="8" t="inlineStr">
        <is>
          <t>Disney Adventure World</t>
        </is>
      </c>
      <c r="E25235" s="8" t="inlineStr">
        <is>
          <t>Raiponce Tangled Spin</t>
        </is>
      </c>
      <c r="F25235" s="8" t="inlineStr">
        <is>
          <t>STANDBY</t>
        </is>
      </c>
      <c r="G25235" s="8" t="n">
        <v>15</v>
      </c>
      <c r="H25235" s="8" t="inlineStr">
        <is>
          <t>OPERATING</t>
        </is>
      </c>
    </row>
    <row r="25236">
      <c r="A25236" s="8" t="inlineStr">
        <is>
          <t>2026-08-05</t>
        </is>
      </c>
      <c r="B25236" s="8" t="n">
        <v>15</v>
      </c>
      <c r="C25236" s="8" t="n">
        <v>4</v>
      </c>
      <c r="D25236" s="8" t="inlineStr">
        <is>
          <t>Disneyland Park</t>
        </is>
      </c>
      <c r="E25236" s="8" t="inlineStr">
        <is>
          <t>Adventure Isle</t>
        </is>
      </c>
      <c r="F25236" s="8" t="inlineStr">
        <is>
          <t>STANDBY</t>
        </is>
      </c>
      <c r="G25236" s="8" t="n">
        <v>0</v>
      </c>
      <c r="H25236" s="8" t="inlineStr">
        <is>
          <t>OPERATING</t>
        </is>
      </c>
    </row>
    <row r="25237">
      <c r="A25237" s="8" t="inlineStr">
        <is>
          <t>2026-08-05</t>
        </is>
      </c>
      <c r="B25237" s="8" t="n">
        <v>15</v>
      </c>
      <c r="C25237" s="8" t="n">
        <v>4</v>
      </c>
      <c r="D25237" s="8" t="inlineStr">
        <is>
          <t>Disneyland Park</t>
        </is>
      </c>
      <c r="E25237" s="8" t="inlineStr">
        <is>
          <t>Indiana Jones and the Temple of Peril Single Rider</t>
        </is>
      </c>
      <c r="F25237" s="8" t="inlineStr">
        <is>
          <t>STANDBY</t>
        </is>
      </c>
      <c r="G25237" s="8" t="n">
        <v>20</v>
      </c>
      <c r="H25237" s="8" t="inlineStr">
        <is>
          <t>OPERATING</t>
        </is>
      </c>
    </row>
    <row r="25238">
      <c r="A25238" s="8" t="inlineStr">
        <is>
          <t>2026-08-05</t>
        </is>
      </c>
      <c r="B25238" s="8" t="n">
        <v>15</v>
      </c>
      <c r="C25238" s="8" t="n">
        <v>4</v>
      </c>
      <c r="D25238" s="8" t="inlineStr">
        <is>
          <t>Disneyland Park</t>
        </is>
      </c>
      <c r="E25238" s="8" t="inlineStr">
        <is>
          <t>Indiana Jones™ and the Temple of Peril</t>
        </is>
      </c>
      <c r="F25238" s="8" t="inlineStr">
        <is>
          <t>STANDBY</t>
        </is>
      </c>
      <c r="G25238" s="8" t="n">
        <v>40</v>
      </c>
      <c r="H25238" s="8" t="inlineStr">
        <is>
          <t>OPERATING</t>
        </is>
      </c>
    </row>
    <row r="25239">
      <c r="A25239" s="8" t="inlineStr">
        <is>
          <t>2026-08-05</t>
        </is>
      </c>
      <c r="B25239" s="8" t="n">
        <v>15</v>
      </c>
      <c r="C25239" s="8" t="n">
        <v>4</v>
      </c>
      <c r="D25239" s="8" t="inlineStr">
        <is>
          <t>Disneyland Park</t>
        </is>
      </c>
      <c r="E25239" s="8" t="inlineStr">
        <is>
          <t>La Cabane des Robinson</t>
        </is>
      </c>
      <c r="F25239" s="8" t="inlineStr">
        <is>
          <t>STANDBY</t>
        </is>
      </c>
      <c r="G25239" s="8" t="n">
        <v>5</v>
      </c>
      <c r="H25239" s="8" t="inlineStr">
        <is>
          <t>OPERATING</t>
        </is>
      </c>
    </row>
    <row r="25240">
      <c r="A25240" s="8" t="inlineStr">
        <is>
          <t>2026-08-05</t>
        </is>
      </c>
      <c r="B25240" s="8" t="n">
        <v>15</v>
      </c>
      <c r="C25240" s="8" t="n">
        <v>4</v>
      </c>
      <c r="D25240" s="8" t="inlineStr">
        <is>
          <t>Disneyland Park</t>
        </is>
      </c>
      <c r="E25240" s="8" t="inlineStr">
        <is>
          <t>Le Passage Enchanté d'Aladdin</t>
        </is>
      </c>
      <c r="F25240" s="8" t="inlineStr">
        <is>
          <t>STANDBY</t>
        </is>
      </c>
      <c r="G25240" s="8" t="n">
        <v>0</v>
      </c>
      <c r="H25240" s="8" t="inlineStr">
        <is>
          <t>OPERATING</t>
        </is>
      </c>
    </row>
    <row r="25241">
      <c r="A25241" s="8" t="inlineStr">
        <is>
          <t>2026-08-05</t>
        </is>
      </c>
      <c r="B25241" s="8" t="n">
        <v>15</v>
      </c>
      <c r="C25241" s="8" t="n">
        <v>4</v>
      </c>
      <c r="D25241" s="8" t="inlineStr">
        <is>
          <t>Disneyland Park</t>
        </is>
      </c>
      <c r="E25241" s="8" t="inlineStr">
        <is>
          <t>Pirate Galleon</t>
        </is>
      </c>
      <c r="F25241" s="8" t="inlineStr">
        <is>
          <t>STANDBY</t>
        </is>
      </c>
      <c r="G25241" s="8" t="n">
        <v>0</v>
      </c>
      <c r="H25241" s="8" t="inlineStr">
        <is>
          <t>CLOSED</t>
        </is>
      </c>
    </row>
    <row r="25242">
      <c r="A25242" s="8" t="inlineStr">
        <is>
          <t>2026-08-05</t>
        </is>
      </c>
      <c r="B25242" s="8" t="n">
        <v>15</v>
      </c>
      <c r="C25242" s="8" t="n">
        <v>4</v>
      </c>
      <c r="D25242" s="8" t="inlineStr">
        <is>
          <t>Disneyland Park</t>
        </is>
      </c>
      <c r="E25242" s="8" t="inlineStr">
        <is>
          <t>Pirates of the Caribbean</t>
        </is>
      </c>
      <c r="F25242" s="8" t="inlineStr">
        <is>
          <t>STANDBY</t>
        </is>
      </c>
      <c r="G25242" s="8" t="n">
        <v>30</v>
      </c>
      <c r="H25242" s="8" t="inlineStr">
        <is>
          <t>OPERATING</t>
        </is>
      </c>
    </row>
    <row r="25243">
      <c r="A25243" s="8" t="inlineStr">
        <is>
          <t>2026-08-05</t>
        </is>
      </c>
      <c r="B25243" s="8" t="n">
        <v>15</v>
      </c>
      <c r="C25243" s="8" t="n">
        <v>4</v>
      </c>
      <c r="D25243" s="8" t="inlineStr">
        <is>
          <t>Disneyland Park</t>
        </is>
      </c>
      <c r="E25243" s="8" t="inlineStr">
        <is>
          <t>Pirates' Beach</t>
        </is>
      </c>
      <c r="F25243" s="8" t="inlineStr">
        <is>
          <t>STANDBY</t>
        </is>
      </c>
      <c r="G25243" s="8" t="n">
        <v>0</v>
      </c>
      <c r="H25243" s="8" t="inlineStr">
        <is>
          <t>OPERATING</t>
        </is>
      </c>
    </row>
    <row r="25244">
      <c r="A25244" s="8" t="inlineStr">
        <is>
          <t>2026-08-05</t>
        </is>
      </c>
      <c r="B25244" s="8" t="n">
        <v>15</v>
      </c>
      <c r="C25244" s="8" t="n">
        <v>4</v>
      </c>
      <c r="D25244" s="8" t="inlineStr">
        <is>
          <t>Disneyland Park</t>
        </is>
      </c>
      <c r="E25244" s="8" t="inlineStr">
        <is>
          <t>Autopia, presented by Avis</t>
        </is>
      </c>
      <c r="F25244" s="8" t="inlineStr">
        <is>
          <t>STANDBY</t>
        </is>
      </c>
      <c r="G25244" s="8" t="n">
        <v>40</v>
      </c>
      <c r="H25244" s="8" t="inlineStr">
        <is>
          <t>OPERATING</t>
        </is>
      </c>
    </row>
    <row r="25245">
      <c r="A25245" s="8" t="inlineStr">
        <is>
          <t>2026-08-05</t>
        </is>
      </c>
      <c r="B25245" s="8" t="n">
        <v>15</v>
      </c>
      <c r="C25245" s="8" t="n">
        <v>4</v>
      </c>
      <c r="D25245" s="8" t="inlineStr">
        <is>
          <t>Disneyland Park</t>
        </is>
      </c>
      <c r="E25245" s="8" t="inlineStr">
        <is>
          <t>Buzz Lightyear Laser Blast</t>
        </is>
      </c>
      <c r="F25245" s="8" t="inlineStr">
        <is>
          <t>STANDBY</t>
        </is>
      </c>
      <c r="G25245" s="8" t="n">
        <v>40</v>
      </c>
      <c r="H25245" s="8" t="inlineStr">
        <is>
          <t>OPERATING</t>
        </is>
      </c>
    </row>
    <row r="25246">
      <c r="A25246" s="8" t="inlineStr">
        <is>
          <t>2026-08-05</t>
        </is>
      </c>
      <c r="B25246" s="8" t="n">
        <v>15</v>
      </c>
      <c r="C25246" s="8" t="n">
        <v>4</v>
      </c>
      <c r="D25246" s="8" t="inlineStr">
        <is>
          <t>Disneyland Park</t>
        </is>
      </c>
      <c r="E25246" s="8" t="inlineStr">
        <is>
          <t>Disneyland Railroad Discoveryland Station</t>
        </is>
      </c>
      <c r="F25246" s="8" t="inlineStr">
        <is>
          <t>STANDBY</t>
        </is>
      </c>
      <c r="G25246" s="8" t="n">
        <v>0</v>
      </c>
      <c r="H25246" s="8" t="inlineStr">
        <is>
          <t>CLOSED</t>
        </is>
      </c>
    </row>
    <row r="25247">
      <c r="A25247" s="8" t="inlineStr">
        <is>
          <t>2026-08-05</t>
        </is>
      </c>
      <c r="B25247" s="8" t="n">
        <v>15</v>
      </c>
      <c r="C25247" s="8" t="n">
        <v>4</v>
      </c>
      <c r="D25247" s="8" t="inlineStr">
        <is>
          <t>Disneyland Park</t>
        </is>
      </c>
      <c r="E25247" s="8" t="inlineStr">
        <is>
          <t>Les Mystères du Nautilus</t>
        </is>
      </c>
      <c r="F25247" s="8" t="inlineStr">
        <is>
          <t>STANDBY</t>
        </is>
      </c>
      <c r="G25247" s="8" t="n">
        <v>5</v>
      </c>
      <c r="H25247" s="8" t="inlineStr">
        <is>
          <t>OPERATING</t>
        </is>
      </c>
    </row>
    <row r="25248">
      <c r="A25248" s="8" t="inlineStr">
        <is>
          <t>2026-08-05</t>
        </is>
      </c>
      <c r="B25248" s="8" t="n">
        <v>15</v>
      </c>
      <c r="C25248" s="8" t="n">
        <v>4</v>
      </c>
      <c r="D25248" s="8" t="inlineStr">
        <is>
          <t>Disneyland Park</t>
        </is>
      </c>
      <c r="E25248" s="8" t="inlineStr">
        <is>
          <t>Mickey’s PhilharMagic</t>
        </is>
      </c>
      <c r="F25248" s="8" t="inlineStr">
        <is>
          <t>STANDBY</t>
        </is>
      </c>
      <c r="G25248" s="8" t="n">
        <v>0</v>
      </c>
      <c r="H25248" s="8" t="inlineStr">
        <is>
          <t>OPERATING</t>
        </is>
      </c>
    </row>
    <row r="25249">
      <c r="A25249" s="8" t="inlineStr">
        <is>
          <t>2026-08-05</t>
        </is>
      </c>
      <c r="B25249" s="8" t="n">
        <v>15</v>
      </c>
      <c r="C25249" s="8" t="n">
        <v>4</v>
      </c>
      <c r="D25249" s="8" t="inlineStr">
        <is>
          <t>Disneyland Park</t>
        </is>
      </c>
      <c r="E25249" s="8" t="inlineStr">
        <is>
          <t>Orbitron®</t>
        </is>
      </c>
      <c r="F25249" s="8" t="inlineStr">
        <is>
          <t>STANDBY</t>
        </is>
      </c>
      <c r="G25249" s="8" t="n">
        <v>70</v>
      </c>
      <c r="H25249" s="8" t="inlineStr">
        <is>
          <t>OPERATING</t>
        </is>
      </c>
    </row>
    <row r="25250">
      <c r="A25250" s="8" t="inlineStr">
        <is>
          <t>2026-08-05</t>
        </is>
      </c>
      <c r="B25250" s="8" t="n">
        <v>15</v>
      </c>
      <c r="C25250" s="8" t="n">
        <v>4</v>
      </c>
      <c r="D25250" s="8" t="inlineStr">
        <is>
          <t>Disneyland Park</t>
        </is>
      </c>
      <c r="E25250" s="8" t="inlineStr">
        <is>
          <t>Star Tours: The Adventures Continue*</t>
        </is>
      </c>
      <c r="F25250" s="8" t="inlineStr">
        <is>
          <t>STANDBY</t>
        </is>
      </c>
      <c r="G25250" s="8" t="n">
        <v>30</v>
      </c>
      <c r="H25250" s="8" t="inlineStr">
        <is>
          <t>OPERATING</t>
        </is>
      </c>
    </row>
    <row r="25251">
      <c r="A25251" s="8" t="inlineStr">
        <is>
          <t>2026-08-05</t>
        </is>
      </c>
      <c r="B25251" s="8" t="n">
        <v>15</v>
      </c>
      <c r="C25251" s="8" t="n">
        <v>4</v>
      </c>
      <c r="D25251" s="8" t="inlineStr">
        <is>
          <t>Disneyland Park</t>
        </is>
      </c>
      <c r="E25251" s="8" t="inlineStr">
        <is>
          <t>Star Wars Hyperspace Mountain</t>
        </is>
      </c>
      <c r="F25251" s="8" t="inlineStr">
        <is>
          <t>STANDBY</t>
        </is>
      </c>
      <c r="G25251" s="8" t="n">
        <v>40</v>
      </c>
      <c r="H25251" s="8" t="inlineStr">
        <is>
          <t>OPERATING</t>
        </is>
      </c>
    </row>
    <row r="25252">
      <c r="A25252" s="8" t="inlineStr">
        <is>
          <t>2026-08-05</t>
        </is>
      </c>
      <c r="B25252" s="8" t="n">
        <v>15</v>
      </c>
      <c r="C25252" s="8" t="n">
        <v>4</v>
      </c>
      <c r="D25252" s="8" t="inlineStr">
        <is>
          <t>Disneyland Park</t>
        </is>
      </c>
      <c r="E25252" s="8" t="inlineStr">
        <is>
          <t>Star Wars Hyperspace Mountain Single Rider</t>
        </is>
      </c>
      <c r="F25252" s="8" t="inlineStr">
        <is>
          <t>STANDBY</t>
        </is>
      </c>
      <c r="G25252" s="8" t="n">
        <v>30</v>
      </c>
      <c r="H25252" s="8" t="inlineStr">
        <is>
          <t>OPERATING</t>
        </is>
      </c>
    </row>
    <row r="25253">
      <c r="A25253" s="8" t="inlineStr">
        <is>
          <t>2026-08-05</t>
        </is>
      </c>
      <c r="B25253" s="8" t="n">
        <v>15</v>
      </c>
      <c r="C25253" s="8" t="n">
        <v>4</v>
      </c>
      <c r="D25253" s="8" t="inlineStr">
        <is>
          <t>Disneyland Park</t>
        </is>
      </c>
      <c r="E25253" s="8" t="inlineStr">
        <is>
          <t>Welcome to Starport: A Star Wars Encounter</t>
        </is>
      </c>
      <c r="F25253" s="8" t="inlineStr">
        <is>
          <t>STANDBY</t>
        </is>
      </c>
      <c r="G25253" s="8" t="n">
        <v>40</v>
      </c>
      <c r="H25253" s="8" t="inlineStr">
        <is>
          <t>OPERATING</t>
        </is>
      </c>
    </row>
    <row r="25254">
      <c r="A25254" s="8" t="inlineStr">
        <is>
          <t>2026-08-05</t>
        </is>
      </c>
      <c r="B25254" s="8" t="n">
        <v>15</v>
      </c>
      <c r="C25254" s="8" t="n">
        <v>4</v>
      </c>
      <c r="D25254" s="8" t="inlineStr">
        <is>
          <t>Disneyland Park</t>
        </is>
      </c>
      <c r="E25254" s="8" t="inlineStr">
        <is>
          <t>"it's a small world"</t>
        </is>
      </c>
      <c r="F25254" s="8" t="inlineStr">
        <is>
          <t>STANDBY</t>
        </is>
      </c>
      <c r="G25254" s="8" t="n">
        <v>15</v>
      </c>
      <c r="H25254" s="8" t="inlineStr">
        <is>
          <t>OPERATING</t>
        </is>
      </c>
    </row>
    <row r="25255">
      <c r="A25255" s="8" t="inlineStr">
        <is>
          <t>2026-08-05</t>
        </is>
      </c>
      <c r="B25255" s="8" t="n">
        <v>15</v>
      </c>
      <c r="C25255" s="8" t="n">
        <v>4</v>
      </c>
      <c r="D25255" s="8" t="inlineStr">
        <is>
          <t>Disneyland Park</t>
        </is>
      </c>
      <c r="E25255" s="8" t="inlineStr">
        <is>
          <t>Alice's Curious Labyrinth</t>
        </is>
      </c>
      <c r="F25255" s="8" t="inlineStr">
        <is>
          <t>STANDBY</t>
        </is>
      </c>
      <c r="G25255" s="8" t="n">
        <v>5</v>
      </c>
      <c r="H25255" s="8" t="inlineStr">
        <is>
          <t>OPERATING</t>
        </is>
      </c>
    </row>
    <row r="25256">
      <c r="A25256" s="8" t="inlineStr">
        <is>
          <t>2026-08-05</t>
        </is>
      </c>
      <c r="B25256" s="8" t="n">
        <v>15</v>
      </c>
      <c r="C25256" s="8" t="n">
        <v>4</v>
      </c>
      <c r="D25256" s="8" t="inlineStr">
        <is>
          <t>Disneyland Park</t>
        </is>
      </c>
      <c r="E25256" s="8" t="inlineStr">
        <is>
          <t>Blanche-Neige et les Sept Nains®</t>
        </is>
      </c>
      <c r="F25256" s="8" t="inlineStr">
        <is>
          <t>STANDBY</t>
        </is>
      </c>
      <c r="G25256" s="8" t="n">
        <v>5</v>
      </c>
      <c r="H25256" s="8" t="inlineStr">
        <is>
          <t>OPERATING</t>
        </is>
      </c>
    </row>
    <row r="25257">
      <c r="A25257" s="8" t="inlineStr">
        <is>
          <t>2026-08-05</t>
        </is>
      </c>
      <c r="B25257" s="8" t="n">
        <v>15</v>
      </c>
      <c r="C25257" s="8" t="n">
        <v>4</v>
      </c>
      <c r="D25257" s="8" t="inlineStr">
        <is>
          <t>Disneyland Park</t>
        </is>
      </c>
      <c r="E25257" s="8" t="inlineStr">
        <is>
          <t>Casey Jr. – le Petit Train du Cirque</t>
        </is>
      </c>
      <c r="F25257" s="8" t="inlineStr">
        <is>
          <t>STANDBY</t>
        </is>
      </c>
      <c r="G25257" s="8" t="n">
        <v>20</v>
      </c>
      <c r="H25257" s="8" t="inlineStr">
        <is>
          <t>OPERATING</t>
        </is>
      </c>
    </row>
    <row r="25258">
      <c r="A25258" s="8" t="inlineStr">
        <is>
          <t>2026-08-05</t>
        </is>
      </c>
      <c r="B25258" s="8" t="n">
        <v>15</v>
      </c>
      <c r="C25258" s="8" t="n">
        <v>4</v>
      </c>
      <c r="D25258" s="8" t="inlineStr">
        <is>
          <t>Disneyland Park</t>
        </is>
      </c>
      <c r="E25258" s="8" t="inlineStr">
        <is>
          <t>Disneyland Railroad Fantasyland Station</t>
        </is>
      </c>
      <c r="F25258" s="8" t="inlineStr">
        <is>
          <t>STANDBY</t>
        </is>
      </c>
      <c r="G25258" s="8" t="n">
        <v>0</v>
      </c>
      <c r="H25258" s="8" t="inlineStr">
        <is>
          <t>CLOSED</t>
        </is>
      </c>
    </row>
    <row r="25259">
      <c r="A25259" s="8" t="inlineStr">
        <is>
          <t>2026-08-05</t>
        </is>
      </c>
      <c r="B25259" s="8" t="n">
        <v>15</v>
      </c>
      <c r="C25259" s="8" t="n">
        <v>4</v>
      </c>
      <c r="D25259" s="8" t="inlineStr">
        <is>
          <t>Disneyland Park</t>
        </is>
      </c>
      <c r="E25259" s="8" t="inlineStr">
        <is>
          <t>Disneyland Railroad Main Street Station</t>
        </is>
      </c>
      <c r="F25259" s="8" t="inlineStr">
        <is>
          <t>STANDBY</t>
        </is>
      </c>
      <c r="G25259" s="8" t="n">
        <v>10</v>
      </c>
      <c r="H25259" s="8" t="inlineStr">
        <is>
          <t>OPERATING</t>
        </is>
      </c>
    </row>
    <row r="25260">
      <c r="A25260" s="8" t="inlineStr">
        <is>
          <t>2026-08-05</t>
        </is>
      </c>
      <c r="B25260" s="8" t="n">
        <v>15</v>
      </c>
      <c r="C25260" s="8" t="n">
        <v>4</v>
      </c>
      <c r="D25260" s="8" t="inlineStr">
        <is>
          <t>Disneyland Park</t>
        </is>
      </c>
      <c r="E25260" s="8" t="inlineStr">
        <is>
          <t>Dumbo the Flying Elephant</t>
        </is>
      </c>
      <c r="F25260" s="8" t="inlineStr">
        <is>
          <t>STANDBY</t>
        </is>
      </c>
      <c r="G25260" s="8" t="n">
        <v>35</v>
      </c>
      <c r="H25260" s="8" t="inlineStr">
        <is>
          <t>OPERATING</t>
        </is>
      </c>
    </row>
    <row r="25261">
      <c r="A25261" s="8" t="inlineStr">
        <is>
          <t>2026-08-05</t>
        </is>
      </c>
      <c r="B25261" s="8" t="n">
        <v>15</v>
      </c>
      <c r="C25261" s="8" t="n">
        <v>4</v>
      </c>
      <c r="D25261" s="8" t="inlineStr">
        <is>
          <t>Disneyland Park</t>
        </is>
      </c>
      <c r="E25261" s="8" t="inlineStr">
        <is>
          <t>La Tanière du Dragon</t>
        </is>
      </c>
      <c r="F25261" s="8" t="inlineStr">
        <is>
          <t>STANDBY</t>
        </is>
      </c>
      <c r="G25261" s="8" t="n">
        <v>0</v>
      </c>
      <c r="H25261" s="8" t="inlineStr">
        <is>
          <t>OPERATING</t>
        </is>
      </c>
    </row>
    <row r="25262">
      <c r="A25262" s="8" t="inlineStr">
        <is>
          <t>2026-08-05</t>
        </is>
      </c>
      <c r="B25262" s="8" t="n">
        <v>15</v>
      </c>
      <c r="C25262" s="8" t="n">
        <v>4</v>
      </c>
      <c r="D25262" s="8" t="inlineStr">
        <is>
          <t>Disneyland Park</t>
        </is>
      </c>
      <c r="E25262" s="8" t="inlineStr">
        <is>
          <t>Le Carrousel de Lancelot</t>
        </is>
      </c>
      <c r="F25262" s="8" t="inlineStr">
        <is>
          <t>STANDBY</t>
        </is>
      </c>
      <c r="G25262" s="8" t="n">
        <v>15</v>
      </c>
      <c r="H25262" s="8" t="inlineStr">
        <is>
          <t>OPERATING</t>
        </is>
      </c>
    </row>
    <row r="25263">
      <c r="A25263" s="8" t="inlineStr">
        <is>
          <t>2026-08-05</t>
        </is>
      </c>
      <c r="B25263" s="8" t="n">
        <v>15</v>
      </c>
      <c r="C25263" s="8" t="n">
        <v>4</v>
      </c>
      <c r="D25263" s="8" t="inlineStr">
        <is>
          <t>Disneyland Park</t>
        </is>
      </c>
      <c r="E25263" s="8" t="inlineStr">
        <is>
          <t>Le Pays des Contes de Fées, presented by Vittel</t>
        </is>
      </c>
      <c r="F25263" s="8" t="inlineStr">
        <is>
          <t>STANDBY</t>
        </is>
      </c>
      <c r="G25263" s="8" t="n">
        <v>5</v>
      </c>
      <c r="H25263" s="8" t="inlineStr">
        <is>
          <t>OPERATING</t>
        </is>
      </c>
    </row>
    <row r="25264">
      <c r="A25264" s="8" t="inlineStr">
        <is>
          <t>2026-08-05</t>
        </is>
      </c>
      <c r="B25264" s="8" t="n">
        <v>15</v>
      </c>
      <c r="C25264" s="8" t="n">
        <v>4</v>
      </c>
      <c r="D25264" s="8" t="inlineStr">
        <is>
          <t>Disneyland Park</t>
        </is>
      </c>
      <c r="E25264" s="8" t="inlineStr">
        <is>
          <t>Les Voyages de Pinocchio</t>
        </is>
      </c>
      <c r="F25264" s="8" t="inlineStr">
        <is>
          <t>STANDBY</t>
        </is>
      </c>
      <c r="G25264" s="8" t="n">
        <v>25</v>
      </c>
      <c r="H25264" s="8" t="inlineStr">
        <is>
          <t>OPERATING</t>
        </is>
      </c>
    </row>
    <row r="25265">
      <c r="A25265" s="8" t="inlineStr">
        <is>
          <t>2026-08-05</t>
        </is>
      </c>
      <c r="B25265" s="8" t="n">
        <v>15</v>
      </c>
      <c r="C25265" s="8" t="n">
        <v>4</v>
      </c>
      <c r="D25265" s="8" t="inlineStr">
        <is>
          <t>Disneyland Park</t>
        </is>
      </c>
      <c r="E25265" s="8" t="inlineStr">
        <is>
          <t>Mad Hatter's Tea Cups</t>
        </is>
      </c>
      <c r="F25265" s="8" t="inlineStr">
        <is>
          <t>STANDBY</t>
        </is>
      </c>
      <c r="G25265" s="8" t="n">
        <v>10</v>
      </c>
      <c r="H25265" s="8" t="inlineStr">
        <is>
          <t>OPERATING</t>
        </is>
      </c>
    </row>
    <row r="25266">
      <c r="A25266" s="8" t="inlineStr">
        <is>
          <t>2026-08-05</t>
        </is>
      </c>
      <c r="B25266" s="8" t="n">
        <v>15</v>
      </c>
      <c r="C25266" s="8" t="n">
        <v>4</v>
      </c>
      <c r="D25266" s="8" t="inlineStr">
        <is>
          <t>Disneyland Park</t>
        </is>
      </c>
      <c r="E25266" s="8" t="inlineStr">
        <is>
          <t>Meet Mickey Mouse</t>
        </is>
      </c>
      <c r="F25266" s="8" t="inlineStr">
        <is>
          <t>STANDBY</t>
        </is>
      </c>
      <c r="G25266" s="8" t="n">
        <v>0</v>
      </c>
      <c r="H25266" s="8" t="inlineStr">
        <is>
          <t>OPERATING</t>
        </is>
      </c>
    </row>
    <row r="25267">
      <c r="A25267" s="8" t="inlineStr">
        <is>
          <t>2026-08-05</t>
        </is>
      </c>
      <c r="B25267" s="8" t="n">
        <v>15</v>
      </c>
      <c r="C25267" s="8" t="n">
        <v>4</v>
      </c>
      <c r="D25267" s="8" t="inlineStr">
        <is>
          <t>Disneyland Park</t>
        </is>
      </c>
      <c r="E25267" s="8" t="inlineStr">
        <is>
          <t>Peter Pan's Flight</t>
        </is>
      </c>
      <c r="F25267" s="8" t="inlineStr">
        <is>
          <t>STANDBY</t>
        </is>
      </c>
      <c r="G25267" s="8" t="n">
        <v>70</v>
      </c>
      <c r="H25267" s="8" t="inlineStr">
        <is>
          <t>OPERATING</t>
        </is>
      </c>
    </row>
    <row r="25268">
      <c r="A25268" s="8" t="inlineStr">
        <is>
          <t>2026-08-05</t>
        </is>
      </c>
      <c r="B25268" s="8" t="n">
        <v>15</v>
      </c>
      <c r="C25268" s="8" t="n">
        <v>4</v>
      </c>
      <c r="D25268" s="8" t="inlineStr">
        <is>
          <t>Disneyland Park</t>
        </is>
      </c>
      <c r="E25268" s="8" t="inlineStr">
        <is>
          <t>Princess Pavilion</t>
        </is>
      </c>
      <c r="F25268" s="8" t="inlineStr">
        <is>
          <t>STANDBY</t>
        </is>
      </c>
      <c r="G25268" s="8" t="n">
        <v>0</v>
      </c>
      <c r="H25268" s="8" t="inlineStr">
        <is>
          <t>OPERATING</t>
        </is>
      </c>
    </row>
    <row r="25269">
      <c r="A25269" s="8" t="inlineStr">
        <is>
          <t>2026-08-05</t>
        </is>
      </c>
      <c r="B25269" s="8" t="n">
        <v>15</v>
      </c>
      <c r="C25269" s="8" t="n">
        <v>4</v>
      </c>
      <c r="D25269" s="8" t="inlineStr">
        <is>
          <t>Disneyland Park</t>
        </is>
      </c>
      <c r="E25269" s="8" t="inlineStr">
        <is>
          <t>Big Thunder Mountain</t>
        </is>
      </c>
      <c r="F25269" s="8" t="inlineStr">
        <is>
          <t>STANDBY</t>
        </is>
      </c>
      <c r="G25269" s="8" t="n">
        <v>80</v>
      </c>
      <c r="H25269" s="8" t="inlineStr">
        <is>
          <t>OPERATING</t>
        </is>
      </c>
    </row>
    <row r="25270">
      <c r="A25270" s="8" t="inlineStr">
        <is>
          <t>2026-08-05</t>
        </is>
      </c>
      <c r="B25270" s="8" t="n">
        <v>15</v>
      </c>
      <c r="C25270" s="8" t="n">
        <v>4</v>
      </c>
      <c r="D25270" s="8" t="inlineStr">
        <is>
          <t>Disneyland Park</t>
        </is>
      </c>
      <c r="E25270" s="8" t="inlineStr">
        <is>
          <t>Disneyland Railroad Frontierland Depot</t>
        </is>
      </c>
      <c r="F25270" s="8" t="inlineStr">
        <is>
          <t>STANDBY</t>
        </is>
      </c>
      <c r="G25270" s="8" t="n">
        <v>10</v>
      </c>
      <c r="H25270" s="8" t="inlineStr">
        <is>
          <t>OPERATING</t>
        </is>
      </c>
    </row>
    <row r="25271">
      <c r="A25271" s="8" t="inlineStr">
        <is>
          <t>2026-08-05</t>
        </is>
      </c>
      <c r="B25271" s="8" t="n">
        <v>15</v>
      </c>
      <c r="C25271" s="8" t="n">
        <v>4</v>
      </c>
      <c r="D25271" s="8" t="inlineStr">
        <is>
          <t>Disneyland Park</t>
        </is>
      </c>
      <c r="E25271" s="8" t="inlineStr">
        <is>
          <t>Frontierland Playground</t>
        </is>
      </c>
      <c r="F25271" s="8" t="inlineStr">
        <is>
          <t>STANDBY</t>
        </is>
      </c>
      <c r="G25271" s="8" t="n">
        <v>0</v>
      </c>
      <c r="H25271" s="8" t="inlineStr">
        <is>
          <t>OPERATING</t>
        </is>
      </c>
    </row>
    <row r="25272">
      <c r="A25272" s="8" t="inlineStr">
        <is>
          <t>2026-08-05</t>
        </is>
      </c>
      <c r="B25272" s="8" t="n">
        <v>15</v>
      </c>
      <c r="C25272" s="8" t="n">
        <v>4</v>
      </c>
      <c r="D25272" s="8" t="inlineStr">
        <is>
          <t>Disneyland Park</t>
        </is>
      </c>
      <c r="E25272" s="8" t="inlineStr">
        <is>
          <t>Phantom Manor</t>
        </is>
      </c>
      <c r="F25272" s="8" t="inlineStr">
        <is>
          <t>STANDBY</t>
        </is>
      </c>
      <c r="G25272" s="8" t="n">
        <v>20</v>
      </c>
      <c r="H25272" s="8" t="inlineStr">
        <is>
          <t>OPERATING</t>
        </is>
      </c>
    </row>
    <row r="25273">
      <c r="A25273" s="8" t="inlineStr">
        <is>
          <t>2026-08-05</t>
        </is>
      </c>
      <c r="B25273" s="8" t="n">
        <v>15</v>
      </c>
      <c r="C25273" s="8" t="n">
        <v>4</v>
      </c>
      <c r="D25273" s="8" t="inlineStr">
        <is>
          <t>Disneyland Park</t>
        </is>
      </c>
      <c r="E25273" s="8" t="inlineStr">
        <is>
          <t>River Rogue Keelboats</t>
        </is>
      </c>
      <c r="F25273" s="8" t="inlineStr">
        <is>
          <t>STANDBY</t>
        </is>
      </c>
      <c r="G25273" s="8" t="n">
        <v>0</v>
      </c>
      <c r="H25273" s="8" t="inlineStr">
        <is>
          <t>CLOSED</t>
        </is>
      </c>
    </row>
    <row r="25274">
      <c r="A25274" s="8" t="inlineStr">
        <is>
          <t>2026-08-05</t>
        </is>
      </c>
      <c r="B25274" s="8" t="n">
        <v>15</v>
      </c>
      <c r="C25274" s="8" t="n">
        <v>4</v>
      </c>
      <c r="D25274" s="8" t="inlineStr">
        <is>
          <t>Disneyland Park</t>
        </is>
      </c>
      <c r="E25274" s="8" t="inlineStr">
        <is>
          <t>Rustler Roundup Shootin' Gallery</t>
        </is>
      </c>
      <c r="F25274" s="8" t="inlineStr">
        <is>
          <t>STANDBY</t>
        </is>
      </c>
      <c r="G25274" s="8" t="n">
        <v>0</v>
      </c>
      <c r="H25274" s="8" t="inlineStr">
        <is>
          <t>OPERATING</t>
        </is>
      </c>
    </row>
    <row r="25275">
      <c r="A25275" s="8" t="inlineStr">
        <is>
          <t>2026-08-05</t>
        </is>
      </c>
      <c r="B25275" s="8" t="n">
        <v>15</v>
      </c>
      <c r="C25275" s="8" t="n">
        <v>4</v>
      </c>
      <c r="D25275" s="8" t="inlineStr">
        <is>
          <t>Disneyland Park</t>
        </is>
      </c>
      <c r="E25275" s="8" t="inlineStr">
        <is>
          <t>Thunder Mesa Riverboat Landing</t>
        </is>
      </c>
      <c r="F25275" s="8" t="inlineStr">
        <is>
          <t>STANDBY</t>
        </is>
      </c>
      <c r="G25275" s="8" t="n">
        <v>20</v>
      </c>
      <c r="H25275" s="8" t="inlineStr">
        <is>
          <t>OPERATING</t>
        </is>
      </c>
    </row>
    <row r="25276">
      <c r="A25276" s="8" t="inlineStr">
        <is>
          <t>2026-08-05</t>
        </is>
      </c>
      <c r="B25276" s="8" t="n">
        <v>15</v>
      </c>
      <c r="C25276" s="8" t="n">
        <v>4</v>
      </c>
      <c r="D25276" s="8" t="inlineStr">
        <is>
          <t>Disneyland Park</t>
        </is>
      </c>
      <c r="E25276" s="8" t="inlineStr">
        <is>
          <t>Disneyland Railroad Main Street Station</t>
        </is>
      </c>
      <c r="F25276" s="8" t="inlineStr">
        <is>
          <t>STANDBY</t>
        </is>
      </c>
      <c r="G25276" s="8" t="n">
        <v>0</v>
      </c>
      <c r="H25276" s="8" t="inlineStr">
        <is>
          <t>OPERATING</t>
        </is>
      </c>
    </row>
    <row r="25277">
      <c r="A25277" s="8" t="inlineStr">
        <is>
          <t>2026-08-05</t>
        </is>
      </c>
      <c r="B25277" s="8" t="n">
        <v>15</v>
      </c>
      <c r="C25277" s="8" t="n">
        <v>4</v>
      </c>
      <c r="D25277" s="8" t="inlineStr">
        <is>
          <t>Disneyland Park</t>
        </is>
      </c>
      <c r="E25277" s="8" t="inlineStr">
        <is>
          <t>Main Street Vehicles</t>
        </is>
      </c>
      <c r="F25277" s="8" t="inlineStr">
        <is>
          <t>STANDBY</t>
        </is>
      </c>
      <c r="G25277" s="8" t="n">
        <v>0</v>
      </c>
      <c r="H25277" s="8" t="inlineStr">
        <is>
          <t>CLOSED</t>
        </is>
      </c>
    </row>
    <row r="25278">
      <c r="A25278" s="8" t="inlineStr">
        <is>
          <t>2026-08-05</t>
        </is>
      </c>
      <c r="B25278" s="8" t="n">
        <v>15</v>
      </c>
      <c r="C25278" s="8" t="n">
        <v>4</v>
      </c>
      <c r="D25278" s="8" t="inlineStr">
        <is>
          <t>Disney Adventure World</t>
        </is>
      </c>
      <c r="E25278" s="8" t="inlineStr">
        <is>
          <t>Avengers Assemble: Flight Force</t>
        </is>
      </c>
      <c r="F25278" s="8" t="inlineStr">
        <is>
          <t>STANDBY</t>
        </is>
      </c>
      <c r="G25278" s="8" t="n">
        <v>30</v>
      </c>
      <c r="H25278" s="8" t="inlineStr">
        <is>
          <t>OPERATING</t>
        </is>
      </c>
    </row>
    <row r="25279">
      <c r="A25279" s="8" t="inlineStr">
        <is>
          <t>2026-08-05</t>
        </is>
      </c>
      <c r="B25279" s="8" t="n">
        <v>15</v>
      </c>
      <c r="C25279" s="8" t="n">
        <v>4</v>
      </c>
      <c r="D25279" s="8" t="inlineStr">
        <is>
          <t>Disney Adventure World</t>
        </is>
      </c>
      <c r="E25279" s="8" t="inlineStr">
        <is>
          <t>Avengers Assemble: Flight Force Single Rider</t>
        </is>
      </c>
      <c r="F25279" s="8" t="inlineStr">
        <is>
          <t>STANDBY</t>
        </is>
      </c>
      <c r="G25279" s="8" t="n">
        <v>25</v>
      </c>
      <c r="H25279" s="8" t="inlineStr">
        <is>
          <t>OPERATING</t>
        </is>
      </c>
    </row>
    <row r="25280">
      <c r="A25280" s="8" t="inlineStr">
        <is>
          <t>2026-08-05</t>
        </is>
      </c>
      <c r="B25280" s="8" t="n">
        <v>15</v>
      </c>
      <c r="C25280" s="8" t="n">
        <v>4</v>
      </c>
      <c r="D25280" s="8" t="inlineStr">
        <is>
          <t>Disney Adventure World</t>
        </is>
      </c>
      <c r="E25280" s="8" t="inlineStr">
        <is>
          <t>Spider-Man W.E.B. Adventure</t>
        </is>
      </c>
      <c r="F25280" s="8" t="inlineStr">
        <is>
          <t>STANDBY</t>
        </is>
      </c>
      <c r="G25280" s="8" t="n">
        <v>60</v>
      </c>
      <c r="H25280" s="8" t="inlineStr">
        <is>
          <t>OPERATING</t>
        </is>
      </c>
    </row>
    <row r="25281">
      <c r="A25281" s="8" t="inlineStr">
        <is>
          <t>2026-08-05</t>
        </is>
      </c>
      <c r="B25281" s="8" t="n">
        <v>15</v>
      </c>
      <c r="C25281" s="8" t="n">
        <v>4</v>
      </c>
      <c r="D25281" s="8" t="inlineStr">
        <is>
          <t>Disney Adventure World</t>
        </is>
      </c>
      <c r="E25281" s="8" t="inlineStr">
        <is>
          <t>Spider-Man W.E.B. Adventure Single Rider</t>
        </is>
      </c>
      <c r="F25281" s="8" t="inlineStr">
        <is>
          <t>STANDBY</t>
        </is>
      </c>
      <c r="G25281" s="8" t="n">
        <v>30</v>
      </c>
      <c r="H25281" s="8" t="inlineStr">
        <is>
          <t>OPERATING</t>
        </is>
      </c>
    </row>
    <row r="25282">
      <c r="A25282" s="8" t="inlineStr">
        <is>
          <t>2026-08-05</t>
        </is>
      </c>
      <c r="B25282" s="8" t="n">
        <v>15</v>
      </c>
      <c r="C25282" s="8" t="n">
        <v>4</v>
      </c>
      <c r="D25282" s="8" t="inlineStr">
        <is>
          <t>Disney Adventure World</t>
        </is>
      </c>
      <c r="E25282" s="8" t="inlineStr">
        <is>
          <t>The Twilight Zone Tower of Terror</t>
        </is>
      </c>
      <c r="F25282" s="8" t="inlineStr">
        <is>
          <t>STANDBY</t>
        </is>
      </c>
      <c r="G25282" s="8" t="n">
        <v>25</v>
      </c>
      <c r="H25282" s="8" t="inlineStr">
        <is>
          <t>OPERATING</t>
        </is>
      </c>
    </row>
    <row r="25283">
      <c r="A25283" s="8" t="inlineStr">
        <is>
          <t>2026-08-05</t>
        </is>
      </c>
      <c r="B25283" s="8" t="n">
        <v>15</v>
      </c>
      <c r="C25283" s="8" t="n">
        <v>4</v>
      </c>
      <c r="D25283" s="8" t="inlineStr">
        <is>
          <t>Disney Adventure World</t>
        </is>
      </c>
      <c r="E25283" s="8" t="inlineStr">
        <is>
          <t>Cars Quatre Roues Rallye</t>
        </is>
      </c>
      <c r="F25283" s="8" t="inlineStr">
        <is>
          <t>STANDBY</t>
        </is>
      </c>
      <c r="G25283" s="8" t="n">
        <v>20</v>
      </c>
      <c r="H25283" s="8" t="inlineStr">
        <is>
          <t>OPERATING</t>
        </is>
      </c>
    </row>
    <row r="25284">
      <c r="A25284" s="8" t="inlineStr">
        <is>
          <t>2026-08-05</t>
        </is>
      </c>
      <c r="B25284" s="8" t="n">
        <v>15</v>
      </c>
      <c r="C25284" s="8" t="n">
        <v>4</v>
      </c>
      <c r="D25284" s="8" t="inlineStr">
        <is>
          <t>Disney Adventure World</t>
        </is>
      </c>
      <c r="E25284" s="8" t="inlineStr">
        <is>
          <t>Cars ROAD TRIP</t>
        </is>
      </c>
      <c r="F25284" s="8" t="inlineStr">
        <is>
          <t>STANDBY</t>
        </is>
      </c>
      <c r="G25284" s="8" t="n">
        <v>20</v>
      </c>
      <c r="H25284" s="8" t="inlineStr">
        <is>
          <t>OPERATING</t>
        </is>
      </c>
    </row>
    <row r="25285">
      <c r="A25285" s="8" t="inlineStr">
        <is>
          <t>2026-08-05</t>
        </is>
      </c>
      <c r="B25285" s="8" t="n">
        <v>15</v>
      </c>
      <c r="C25285" s="8" t="n">
        <v>4</v>
      </c>
      <c r="D25285" s="8" t="inlineStr">
        <is>
          <t>Disney Adventure World</t>
        </is>
      </c>
      <c r="E25285" s="8" t="inlineStr">
        <is>
          <t>Crush's Coaster</t>
        </is>
      </c>
      <c r="F25285" s="8" t="inlineStr">
        <is>
          <t>STANDBY</t>
        </is>
      </c>
      <c r="G25285" s="8" t="n">
        <v>80</v>
      </c>
      <c r="H25285" s="8" t="inlineStr">
        <is>
          <t>OPERATING</t>
        </is>
      </c>
    </row>
    <row r="25286">
      <c r="A25286" s="8" t="inlineStr">
        <is>
          <t>2026-08-05</t>
        </is>
      </c>
      <c r="B25286" s="8" t="n">
        <v>15</v>
      </c>
      <c r="C25286" s="8" t="n">
        <v>4</v>
      </c>
      <c r="D25286" s="8" t="inlineStr">
        <is>
          <t>Disney Adventure World</t>
        </is>
      </c>
      <c r="E25286" s="8" t="inlineStr">
        <is>
          <t>Crush's Coaster Single Rider</t>
        </is>
      </c>
      <c r="F25286" s="8" t="inlineStr">
        <is>
          <t>STANDBY</t>
        </is>
      </c>
      <c r="G25286" s="8" t="n">
        <v>70</v>
      </c>
      <c r="H25286" s="8" t="inlineStr">
        <is>
          <t>OPERATING</t>
        </is>
      </c>
    </row>
    <row r="25287">
      <c r="A25287" s="8" t="inlineStr">
        <is>
          <t>2026-08-05</t>
        </is>
      </c>
      <c r="B25287" s="8" t="n">
        <v>15</v>
      </c>
      <c r="C25287" s="8" t="n">
        <v>4</v>
      </c>
      <c r="D25287" s="8" t="inlineStr">
        <is>
          <t>Disney Adventure World</t>
        </is>
      </c>
      <c r="E25287" s="8" t="inlineStr">
        <is>
          <t>Les Tapis Volants - Flying Carpets Over Agrabah®</t>
        </is>
      </c>
      <c r="F25287" s="8" t="inlineStr">
        <is>
          <t>STANDBY</t>
        </is>
      </c>
      <c r="G25287" s="8" t="n">
        <v>35</v>
      </c>
      <c r="H25287" s="8" t="inlineStr">
        <is>
          <t>OPERATING</t>
        </is>
      </c>
    </row>
    <row r="25288">
      <c r="A25288" s="8" t="inlineStr">
        <is>
          <t>2026-08-05</t>
        </is>
      </c>
      <c r="B25288" s="8" t="n">
        <v>15</v>
      </c>
      <c r="C25288" s="8" t="n">
        <v>4</v>
      </c>
      <c r="D25288" s="8" t="inlineStr">
        <is>
          <t>Disney Adventure World</t>
        </is>
      </c>
      <c r="E25288" s="8" t="inlineStr">
        <is>
          <t>Ratatouille : L’Aventure Totalement Toquée de Rémy​</t>
        </is>
      </c>
      <c r="F25288" s="8" t="inlineStr">
        <is>
          <t>STANDBY</t>
        </is>
      </c>
      <c r="G25288" s="8" t="n">
        <v>65</v>
      </c>
      <c r="H25288" s="8" t="inlineStr">
        <is>
          <t>OPERATING</t>
        </is>
      </c>
    </row>
    <row r="25289">
      <c r="A25289" s="8" t="inlineStr">
        <is>
          <t>2026-08-05</t>
        </is>
      </c>
      <c r="B25289" s="8" t="n">
        <v>15</v>
      </c>
      <c r="C25289" s="8" t="n">
        <v>4</v>
      </c>
      <c r="D25289" s="8" t="inlineStr">
        <is>
          <t>Disney Adventure World</t>
        </is>
      </c>
      <c r="E25289" s="8" t="inlineStr">
        <is>
          <t>Ratatouille: The Adventure Single Rider</t>
        </is>
      </c>
      <c r="F25289" s="8" t="inlineStr">
        <is>
          <t>STANDBY</t>
        </is>
      </c>
      <c r="G25289" s="8" t="n">
        <v>20</v>
      </c>
      <c r="H25289" s="8" t="inlineStr">
        <is>
          <t>OPERATING</t>
        </is>
      </c>
    </row>
    <row r="25290">
      <c r="A25290" s="8" t="inlineStr">
        <is>
          <t>2026-08-05</t>
        </is>
      </c>
      <c r="B25290" s="8" t="n">
        <v>15</v>
      </c>
      <c r="C25290" s="8" t="n">
        <v>4</v>
      </c>
      <c r="D25290" s="8" t="inlineStr">
        <is>
          <t>Disney Adventure World</t>
        </is>
      </c>
      <c r="E25290" s="8" t="inlineStr">
        <is>
          <t>RC Racer</t>
        </is>
      </c>
      <c r="F25290" s="8" t="inlineStr">
        <is>
          <t>STANDBY</t>
        </is>
      </c>
      <c r="G25290" s="8" t="n">
        <v>55</v>
      </c>
      <c r="H25290" s="8" t="inlineStr">
        <is>
          <t>OPERATING</t>
        </is>
      </c>
    </row>
    <row r="25291">
      <c r="A25291" s="8" t="inlineStr">
        <is>
          <t>2026-08-05</t>
        </is>
      </c>
      <c r="B25291" s="8" t="n">
        <v>15</v>
      </c>
      <c r="C25291" s="8" t="n">
        <v>4</v>
      </c>
      <c r="D25291" s="8" t="inlineStr">
        <is>
          <t>Disney Adventure World</t>
        </is>
      </c>
      <c r="E25291" s="8" t="inlineStr">
        <is>
          <t>RC Racer Single Rider</t>
        </is>
      </c>
      <c r="F25291" s="8" t="inlineStr">
        <is>
          <t>STANDBY</t>
        </is>
      </c>
      <c r="G25291" s="8" t="n">
        <v>50</v>
      </c>
      <c r="H25291" s="8" t="inlineStr">
        <is>
          <t>OPERATING</t>
        </is>
      </c>
    </row>
    <row r="25292">
      <c r="A25292" s="8" t="inlineStr">
        <is>
          <t>2026-08-05</t>
        </is>
      </c>
      <c r="B25292" s="8" t="n">
        <v>15</v>
      </c>
      <c r="C25292" s="8" t="n">
        <v>4</v>
      </c>
      <c r="D25292" s="8" t="inlineStr">
        <is>
          <t>Disney Adventure World</t>
        </is>
      </c>
      <c r="E25292" s="8" t="inlineStr">
        <is>
          <t>Slinky® Dog Zigzag Spin</t>
        </is>
      </c>
      <c r="F25292" s="8" t="inlineStr">
        <is>
          <t>STANDBY</t>
        </is>
      </c>
      <c r="G25292" s="8" t="n">
        <v>15</v>
      </c>
      <c r="H25292" s="8" t="inlineStr">
        <is>
          <t>OPERATING</t>
        </is>
      </c>
    </row>
    <row r="25293">
      <c r="A25293" s="8" t="inlineStr">
        <is>
          <t>2026-08-05</t>
        </is>
      </c>
      <c r="B25293" s="8" t="n">
        <v>15</v>
      </c>
      <c r="C25293" s="8" t="n">
        <v>4</v>
      </c>
      <c r="D25293" s="8" t="inlineStr">
        <is>
          <t>Disney Adventure World</t>
        </is>
      </c>
      <c r="E25293" s="8" t="inlineStr">
        <is>
          <t>Toy Soldiers Parachute Drop</t>
        </is>
      </c>
      <c r="F25293" s="8" t="inlineStr">
        <is>
          <t>STANDBY</t>
        </is>
      </c>
      <c r="G25293" s="8" t="n">
        <v>50</v>
      </c>
      <c r="H25293" s="8" t="inlineStr">
        <is>
          <t>OPERATING</t>
        </is>
      </c>
    </row>
    <row r="25294">
      <c r="A25294" s="8" t="inlineStr">
        <is>
          <t>2026-08-05</t>
        </is>
      </c>
      <c r="B25294" s="8" t="n">
        <v>15</v>
      </c>
      <c r="C25294" s="8" t="n">
        <v>4</v>
      </c>
      <c r="D25294" s="8" t="inlineStr">
        <is>
          <t>Disney Adventure World</t>
        </is>
      </c>
      <c r="E25294" s="8" t="inlineStr">
        <is>
          <t>Toy Soldiers Parachute Drop Single Rider</t>
        </is>
      </c>
      <c r="F25294" s="8" t="inlineStr">
        <is>
          <t>STANDBY</t>
        </is>
      </c>
      <c r="G25294" s="8" t="n">
        <v>20</v>
      </c>
      <c r="H25294" s="8" t="inlineStr">
        <is>
          <t>OPERATING</t>
        </is>
      </c>
    </row>
    <row r="25295">
      <c r="A25295" s="8" t="inlineStr">
        <is>
          <t>2026-08-05</t>
        </is>
      </c>
      <c r="B25295" s="8" t="n">
        <v>15</v>
      </c>
      <c r="C25295" s="8" t="n">
        <v>4</v>
      </c>
      <c r="D25295" s="8" t="inlineStr">
        <is>
          <t>Disney Adventure World</t>
        </is>
      </c>
      <c r="E25295" s="8" t="inlineStr">
        <is>
          <t>Entry to World of Frozen</t>
        </is>
      </c>
      <c r="F25295" s="8" t="inlineStr">
        <is>
          <t>STANDBY</t>
        </is>
      </c>
      <c r="G25295" s="8" t="n">
        <v>0</v>
      </c>
      <c r="H25295" s="8" t="inlineStr">
        <is>
          <t>OPERATING</t>
        </is>
      </c>
    </row>
    <row r="25296">
      <c r="A25296" s="8" t="inlineStr">
        <is>
          <t>2026-08-05</t>
        </is>
      </c>
      <c r="B25296" s="8" t="n">
        <v>15</v>
      </c>
      <c r="C25296" s="8" t="n">
        <v>4</v>
      </c>
      <c r="D25296" s="8" t="inlineStr">
        <is>
          <t>Disney Adventure World</t>
        </is>
      </c>
      <c r="E25296" s="8" t="inlineStr">
        <is>
          <t>Frozen Ever After</t>
        </is>
      </c>
      <c r="F25296" s="8" t="inlineStr">
        <is>
          <t>STANDBY</t>
        </is>
      </c>
      <c r="G25296" s="8" t="n">
        <v>65</v>
      </c>
      <c r="H25296" s="8" t="inlineStr">
        <is>
          <t>OPERATING</t>
        </is>
      </c>
    </row>
    <row r="25297">
      <c r="A25297" s="8" t="inlineStr">
        <is>
          <t>2026-08-05</t>
        </is>
      </c>
      <c r="B25297" s="8" t="n">
        <v>15</v>
      </c>
      <c r="C25297" s="8" t="n">
        <v>4</v>
      </c>
      <c r="D25297" s="8" t="inlineStr">
        <is>
          <t>Disney Adventure World</t>
        </is>
      </c>
      <c r="E25297" s="8" t="inlineStr">
        <is>
          <t>Raiponce Tangled Spin</t>
        </is>
      </c>
      <c r="F25297" s="8" t="inlineStr">
        <is>
          <t>STANDBY</t>
        </is>
      </c>
      <c r="G25297" s="8" t="n">
        <v>15</v>
      </c>
      <c r="H25297" s="8" t="inlineStr">
        <is>
          <t>OPERATING</t>
        </is>
      </c>
    </row>
    <row r="25298">
      <c r="A25298" s="8" t="inlineStr">
        <is>
          <t>2026-08-05</t>
        </is>
      </c>
      <c r="B25298" s="8" t="n">
        <v>15</v>
      </c>
      <c r="C25298" s="8" t="n">
        <v>15</v>
      </c>
      <c r="D25298" s="8" t="inlineStr">
        <is>
          <t>Disneyland Park</t>
        </is>
      </c>
      <c r="E25298" s="8" t="inlineStr">
        <is>
          <t>Adventure Isle</t>
        </is>
      </c>
      <c r="F25298" s="8" t="inlineStr">
        <is>
          <t>STANDBY</t>
        </is>
      </c>
      <c r="G25298" s="8" t="n">
        <v>0</v>
      </c>
      <c r="H25298" s="8" t="inlineStr">
        <is>
          <t>OPERATING</t>
        </is>
      </c>
    </row>
    <row r="25299">
      <c r="A25299" s="8" t="inlineStr">
        <is>
          <t>2026-08-05</t>
        </is>
      </c>
      <c r="B25299" s="8" t="n">
        <v>15</v>
      </c>
      <c r="C25299" s="8" t="n">
        <v>15</v>
      </c>
      <c r="D25299" s="8" t="inlineStr">
        <is>
          <t>Disneyland Park</t>
        </is>
      </c>
      <c r="E25299" s="8" t="inlineStr">
        <is>
          <t>Indiana Jones and the Temple of Peril Single Rider</t>
        </is>
      </c>
      <c r="F25299" s="8" t="inlineStr">
        <is>
          <t>STANDBY</t>
        </is>
      </c>
      <c r="G25299" s="8" t="n">
        <v>30</v>
      </c>
      <c r="H25299" s="8" t="inlineStr">
        <is>
          <t>OPERATING</t>
        </is>
      </c>
    </row>
    <row r="25300">
      <c r="A25300" s="8" t="inlineStr">
        <is>
          <t>2026-08-05</t>
        </is>
      </c>
      <c r="B25300" s="8" t="n">
        <v>15</v>
      </c>
      <c r="C25300" s="8" t="n">
        <v>15</v>
      </c>
      <c r="D25300" s="8" t="inlineStr">
        <is>
          <t>Disneyland Park</t>
        </is>
      </c>
      <c r="E25300" s="8" t="inlineStr">
        <is>
          <t>Indiana Jones™ and the Temple of Peril</t>
        </is>
      </c>
      <c r="F25300" s="8" t="inlineStr">
        <is>
          <t>STANDBY</t>
        </is>
      </c>
      <c r="G25300" s="8" t="n">
        <v>40</v>
      </c>
      <c r="H25300" s="8" t="inlineStr">
        <is>
          <t>OPERATING</t>
        </is>
      </c>
    </row>
    <row r="25301">
      <c r="A25301" s="8" t="inlineStr">
        <is>
          <t>2026-08-05</t>
        </is>
      </c>
      <c r="B25301" s="8" t="n">
        <v>15</v>
      </c>
      <c r="C25301" s="8" t="n">
        <v>15</v>
      </c>
      <c r="D25301" s="8" t="inlineStr">
        <is>
          <t>Disneyland Park</t>
        </is>
      </c>
      <c r="E25301" s="8" t="inlineStr">
        <is>
          <t>La Cabane des Robinson</t>
        </is>
      </c>
      <c r="F25301" s="8" t="inlineStr">
        <is>
          <t>STANDBY</t>
        </is>
      </c>
      <c r="G25301" s="8" t="n">
        <v>5</v>
      </c>
      <c r="H25301" s="8" t="inlineStr">
        <is>
          <t>OPERATING</t>
        </is>
      </c>
    </row>
    <row r="25302">
      <c r="A25302" s="8" t="inlineStr">
        <is>
          <t>2026-08-05</t>
        </is>
      </c>
      <c r="B25302" s="8" t="n">
        <v>15</v>
      </c>
      <c r="C25302" s="8" t="n">
        <v>15</v>
      </c>
      <c r="D25302" s="8" t="inlineStr">
        <is>
          <t>Disneyland Park</t>
        </is>
      </c>
      <c r="E25302" s="8" t="inlineStr">
        <is>
          <t>Le Passage Enchanté d'Aladdin</t>
        </is>
      </c>
      <c r="F25302" s="8" t="inlineStr">
        <is>
          <t>STANDBY</t>
        </is>
      </c>
      <c r="G25302" s="8" t="n">
        <v>0</v>
      </c>
      <c r="H25302" s="8" t="inlineStr">
        <is>
          <t>OPERATING</t>
        </is>
      </c>
    </row>
    <row r="25303">
      <c r="A25303" s="8" t="inlineStr">
        <is>
          <t>2026-08-05</t>
        </is>
      </c>
      <c r="B25303" s="8" t="n">
        <v>15</v>
      </c>
      <c r="C25303" s="8" t="n">
        <v>15</v>
      </c>
      <c r="D25303" s="8" t="inlineStr">
        <is>
          <t>Disneyland Park</t>
        </is>
      </c>
      <c r="E25303" s="8" t="inlineStr">
        <is>
          <t>Pirate Galleon</t>
        </is>
      </c>
      <c r="F25303" s="8" t="inlineStr">
        <is>
          <t>STANDBY</t>
        </is>
      </c>
      <c r="G25303" s="8" t="n">
        <v>0</v>
      </c>
      <c r="H25303" s="8" t="inlineStr">
        <is>
          <t>CLOSED</t>
        </is>
      </c>
    </row>
    <row r="25304">
      <c r="A25304" s="8" t="inlineStr">
        <is>
          <t>2026-08-05</t>
        </is>
      </c>
      <c r="B25304" s="8" t="n">
        <v>15</v>
      </c>
      <c r="C25304" s="8" t="n">
        <v>15</v>
      </c>
      <c r="D25304" s="8" t="inlineStr">
        <is>
          <t>Disneyland Park</t>
        </is>
      </c>
      <c r="E25304" s="8" t="inlineStr">
        <is>
          <t>Pirates of the Caribbean</t>
        </is>
      </c>
      <c r="F25304" s="8" t="inlineStr">
        <is>
          <t>STANDBY</t>
        </is>
      </c>
      <c r="G25304" s="8" t="n">
        <v>30</v>
      </c>
      <c r="H25304" s="8" t="inlineStr">
        <is>
          <t>OPERATING</t>
        </is>
      </c>
    </row>
    <row r="25305">
      <c r="A25305" s="8" t="inlineStr">
        <is>
          <t>2026-08-05</t>
        </is>
      </c>
      <c r="B25305" s="8" t="n">
        <v>15</v>
      </c>
      <c r="C25305" s="8" t="n">
        <v>15</v>
      </c>
      <c r="D25305" s="8" t="inlineStr">
        <is>
          <t>Disneyland Park</t>
        </is>
      </c>
      <c r="E25305" s="8" t="inlineStr">
        <is>
          <t>Pirates' Beach</t>
        </is>
      </c>
      <c r="F25305" s="8" t="inlineStr">
        <is>
          <t>STANDBY</t>
        </is>
      </c>
      <c r="G25305" s="8" t="n">
        <v>0</v>
      </c>
      <c r="H25305" s="8" t="inlineStr">
        <is>
          <t>OPERATING</t>
        </is>
      </c>
    </row>
    <row r="25306">
      <c r="A25306" s="8" t="inlineStr">
        <is>
          <t>2026-08-05</t>
        </is>
      </c>
      <c r="B25306" s="8" t="n">
        <v>15</v>
      </c>
      <c r="C25306" s="8" t="n">
        <v>15</v>
      </c>
      <c r="D25306" s="8" t="inlineStr">
        <is>
          <t>Disneyland Park</t>
        </is>
      </c>
      <c r="E25306" s="8" t="inlineStr">
        <is>
          <t>Autopia, presented by Avis</t>
        </is>
      </c>
      <c r="F25306" s="8" t="inlineStr">
        <is>
          <t>STANDBY</t>
        </is>
      </c>
      <c r="G25306" s="8" t="n">
        <v>40</v>
      </c>
      <c r="H25306" s="8" t="inlineStr">
        <is>
          <t>OPERATING</t>
        </is>
      </c>
    </row>
    <row r="25307">
      <c r="A25307" s="8" t="inlineStr">
        <is>
          <t>2026-08-05</t>
        </is>
      </c>
      <c r="B25307" s="8" t="n">
        <v>15</v>
      </c>
      <c r="C25307" s="8" t="n">
        <v>15</v>
      </c>
      <c r="D25307" s="8" t="inlineStr">
        <is>
          <t>Disneyland Park</t>
        </is>
      </c>
      <c r="E25307" s="8" t="inlineStr">
        <is>
          <t>Buzz Lightyear Laser Blast</t>
        </is>
      </c>
      <c r="F25307" s="8" t="inlineStr">
        <is>
          <t>STANDBY</t>
        </is>
      </c>
      <c r="G25307" s="8" t="n">
        <v>40</v>
      </c>
      <c r="H25307" s="8" t="inlineStr">
        <is>
          <t>OPERATING</t>
        </is>
      </c>
    </row>
    <row r="25308">
      <c r="A25308" s="8" t="inlineStr">
        <is>
          <t>2026-08-05</t>
        </is>
      </c>
      <c r="B25308" s="8" t="n">
        <v>15</v>
      </c>
      <c r="C25308" s="8" t="n">
        <v>15</v>
      </c>
      <c r="D25308" s="8" t="inlineStr">
        <is>
          <t>Disneyland Park</t>
        </is>
      </c>
      <c r="E25308" s="8" t="inlineStr">
        <is>
          <t>Disneyland Railroad Discoveryland Station</t>
        </is>
      </c>
      <c r="F25308" s="8" t="inlineStr">
        <is>
          <t>STANDBY</t>
        </is>
      </c>
      <c r="G25308" s="8" t="n">
        <v>0</v>
      </c>
      <c r="H25308" s="8" t="inlineStr">
        <is>
          <t>CLOSED</t>
        </is>
      </c>
    </row>
    <row r="25309">
      <c r="A25309" s="8" t="inlineStr">
        <is>
          <t>2026-08-05</t>
        </is>
      </c>
      <c r="B25309" s="8" t="n">
        <v>15</v>
      </c>
      <c r="C25309" s="8" t="n">
        <v>15</v>
      </c>
      <c r="D25309" s="8" t="inlineStr">
        <is>
          <t>Disneyland Park</t>
        </is>
      </c>
      <c r="E25309" s="8" t="inlineStr">
        <is>
          <t>Les Mystères du Nautilus</t>
        </is>
      </c>
      <c r="F25309" s="8" t="inlineStr">
        <is>
          <t>STANDBY</t>
        </is>
      </c>
      <c r="G25309" s="8" t="n">
        <v>5</v>
      </c>
      <c r="H25309" s="8" t="inlineStr">
        <is>
          <t>OPERATING</t>
        </is>
      </c>
    </row>
    <row r="25310">
      <c r="A25310" s="8" t="inlineStr">
        <is>
          <t>2026-08-05</t>
        </is>
      </c>
      <c r="B25310" s="8" t="n">
        <v>15</v>
      </c>
      <c r="C25310" s="8" t="n">
        <v>15</v>
      </c>
      <c r="D25310" s="8" t="inlineStr">
        <is>
          <t>Disneyland Park</t>
        </is>
      </c>
      <c r="E25310" s="8" t="inlineStr">
        <is>
          <t>Mickey’s PhilharMagic</t>
        </is>
      </c>
      <c r="F25310" s="8" t="inlineStr">
        <is>
          <t>STANDBY</t>
        </is>
      </c>
      <c r="G25310" s="8" t="n">
        <v>0</v>
      </c>
      <c r="H25310" s="8" t="inlineStr">
        <is>
          <t>OPERATING</t>
        </is>
      </c>
    </row>
    <row r="25311">
      <c r="A25311" s="8" t="inlineStr">
        <is>
          <t>2026-08-05</t>
        </is>
      </c>
      <c r="B25311" s="8" t="n">
        <v>15</v>
      </c>
      <c r="C25311" s="8" t="n">
        <v>15</v>
      </c>
      <c r="D25311" s="8" t="inlineStr">
        <is>
          <t>Disneyland Park</t>
        </is>
      </c>
      <c r="E25311" s="8" t="inlineStr">
        <is>
          <t>Orbitron®</t>
        </is>
      </c>
      <c r="F25311" s="8" t="inlineStr">
        <is>
          <t>STANDBY</t>
        </is>
      </c>
      <c r="G25311" s="8" t="n">
        <v>70</v>
      </c>
      <c r="H25311" s="8" t="inlineStr">
        <is>
          <t>OPERATING</t>
        </is>
      </c>
    </row>
    <row r="25312">
      <c r="A25312" s="8" t="inlineStr">
        <is>
          <t>2026-08-05</t>
        </is>
      </c>
      <c r="B25312" s="8" t="n">
        <v>15</v>
      </c>
      <c r="C25312" s="8" t="n">
        <v>15</v>
      </c>
      <c r="D25312" s="8" t="inlineStr">
        <is>
          <t>Disneyland Park</t>
        </is>
      </c>
      <c r="E25312" s="8" t="inlineStr">
        <is>
          <t>Star Tours: The Adventures Continue*</t>
        </is>
      </c>
      <c r="F25312" s="8" t="inlineStr">
        <is>
          <t>STANDBY</t>
        </is>
      </c>
      <c r="G25312" s="8" t="n">
        <v>30</v>
      </c>
      <c r="H25312" s="8" t="inlineStr">
        <is>
          <t>OPERATING</t>
        </is>
      </c>
    </row>
    <row r="25313">
      <c r="A25313" s="8" t="inlineStr">
        <is>
          <t>2026-08-05</t>
        </is>
      </c>
      <c r="B25313" s="8" t="n">
        <v>15</v>
      </c>
      <c r="C25313" s="8" t="n">
        <v>15</v>
      </c>
      <c r="D25313" s="8" t="inlineStr">
        <is>
          <t>Disneyland Park</t>
        </is>
      </c>
      <c r="E25313" s="8" t="inlineStr">
        <is>
          <t>Star Wars Hyperspace Mountain</t>
        </is>
      </c>
      <c r="F25313" s="8" t="inlineStr">
        <is>
          <t>STANDBY</t>
        </is>
      </c>
      <c r="G25313" s="8" t="n">
        <v>45</v>
      </c>
      <c r="H25313" s="8" t="inlineStr">
        <is>
          <t>OPERATING</t>
        </is>
      </c>
    </row>
    <row r="25314">
      <c r="A25314" s="8" t="inlineStr">
        <is>
          <t>2026-08-05</t>
        </is>
      </c>
      <c r="B25314" s="8" t="n">
        <v>15</v>
      </c>
      <c r="C25314" s="8" t="n">
        <v>15</v>
      </c>
      <c r="D25314" s="8" t="inlineStr">
        <is>
          <t>Disneyland Park</t>
        </is>
      </c>
      <c r="E25314" s="8" t="inlineStr">
        <is>
          <t>Star Wars Hyperspace Mountain Single Rider</t>
        </is>
      </c>
      <c r="F25314" s="8" t="inlineStr">
        <is>
          <t>STANDBY</t>
        </is>
      </c>
      <c r="G25314" s="8" t="n">
        <v>40</v>
      </c>
      <c r="H25314" s="8" t="inlineStr">
        <is>
          <t>OPERATING</t>
        </is>
      </c>
    </row>
    <row r="25315">
      <c r="A25315" s="8" t="inlineStr">
        <is>
          <t>2026-08-05</t>
        </is>
      </c>
      <c r="B25315" s="8" t="n">
        <v>15</v>
      </c>
      <c r="C25315" s="8" t="n">
        <v>15</v>
      </c>
      <c r="D25315" s="8" t="inlineStr">
        <is>
          <t>Disneyland Park</t>
        </is>
      </c>
      <c r="E25315" s="8" t="inlineStr">
        <is>
          <t>Welcome to Starport: A Star Wars Encounter</t>
        </is>
      </c>
      <c r="F25315" s="8" t="inlineStr">
        <is>
          <t>STANDBY</t>
        </is>
      </c>
      <c r="G25315" s="8" t="n">
        <v>30</v>
      </c>
      <c r="H25315" s="8" t="inlineStr">
        <is>
          <t>OPERATING</t>
        </is>
      </c>
    </row>
    <row r="25316">
      <c r="A25316" s="8" t="inlineStr">
        <is>
          <t>2026-08-05</t>
        </is>
      </c>
      <c r="B25316" s="8" t="n">
        <v>15</v>
      </c>
      <c r="C25316" s="8" t="n">
        <v>15</v>
      </c>
      <c r="D25316" s="8" t="inlineStr">
        <is>
          <t>Disneyland Park</t>
        </is>
      </c>
      <c r="E25316" s="8" t="inlineStr">
        <is>
          <t>"it's a small world"</t>
        </is>
      </c>
      <c r="F25316" s="8" t="inlineStr">
        <is>
          <t>STANDBY</t>
        </is>
      </c>
      <c r="G25316" s="8" t="n">
        <v>15</v>
      </c>
      <c r="H25316" s="8" t="inlineStr">
        <is>
          <t>OPERATING</t>
        </is>
      </c>
    </row>
    <row r="25317">
      <c r="A25317" s="8" t="inlineStr">
        <is>
          <t>2026-08-05</t>
        </is>
      </c>
      <c r="B25317" s="8" t="n">
        <v>15</v>
      </c>
      <c r="C25317" s="8" t="n">
        <v>15</v>
      </c>
      <c r="D25317" s="8" t="inlineStr">
        <is>
          <t>Disneyland Park</t>
        </is>
      </c>
      <c r="E25317" s="8" t="inlineStr">
        <is>
          <t>Alice's Curious Labyrinth</t>
        </is>
      </c>
      <c r="F25317" s="8" t="inlineStr">
        <is>
          <t>STANDBY</t>
        </is>
      </c>
      <c r="G25317" s="8" t="n">
        <v>5</v>
      </c>
      <c r="H25317" s="8" t="inlineStr">
        <is>
          <t>OPERATING</t>
        </is>
      </c>
    </row>
    <row r="25318">
      <c r="A25318" s="8" t="inlineStr">
        <is>
          <t>2026-08-05</t>
        </is>
      </c>
      <c r="B25318" s="8" t="n">
        <v>15</v>
      </c>
      <c r="C25318" s="8" t="n">
        <v>15</v>
      </c>
      <c r="D25318" s="8" t="inlineStr">
        <is>
          <t>Disneyland Park</t>
        </is>
      </c>
      <c r="E25318" s="8" t="inlineStr">
        <is>
          <t>Blanche-Neige et les Sept Nains®</t>
        </is>
      </c>
      <c r="F25318" s="8" t="inlineStr">
        <is>
          <t>STANDBY</t>
        </is>
      </c>
      <c r="G25318" s="8" t="n">
        <v>15</v>
      </c>
      <c r="H25318" s="8" t="inlineStr">
        <is>
          <t>OPERATING</t>
        </is>
      </c>
    </row>
    <row r="25319">
      <c r="A25319" s="8" t="inlineStr">
        <is>
          <t>2026-08-05</t>
        </is>
      </c>
      <c r="B25319" s="8" t="n">
        <v>15</v>
      </c>
      <c r="C25319" s="8" t="n">
        <v>15</v>
      </c>
      <c r="D25319" s="8" t="inlineStr">
        <is>
          <t>Disneyland Park</t>
        </is>
      </c>
      <c r="E25319" s="8" t="inlineStr">
        <is>
          <t>Casey Jr. – le Petit Train du Cirque</t>
        </is>
      </c>
      <c r="F25319" s="8" t="inlineStr">
        <is>
          <t>STANDBY</t>
        </is>
      </c>
      <c r="G25319" s="8" t="n">
        <v>20</v>
      </c>
      <c r="H25319" s="8" t="inlineStr">
        <is>
          <t>OPERATING</t>
        </is>
      </c>
    </row>
    <row r="25320">
      <c r="A25320" s="8" t="inlineStr">
        <is>
          <t>2026-08-05</t>
        </is>
      </c>
      <c r="B25320" s="8" t="n">
        <v>15</v>
      </c>
      <c r="C25320" s="8" t="n">
        <v>15</v>
      </c>
      <c r="D25320" s="8" t="inlineStr">
        <is>
          <t>Disneyland Park</t>
        </is>
      </c>
      <c r="E25320" s="8" t="inlineStr">
        <is>
          <t>Disneyland Railroad Fantasyland Station</t>
        </is>
      </c>
      <c r="F25320" s="8" t="inlineStr">
        <is>
          <t>STANDBY</t>
        </is>
      </c>
      <c r="G25320" s="8" t="n">
        <v>0</v>
      </c>
      <c r="H25320" s="8" t="inlineStr">
        <is>
          <t>CLOSED</t>
        </is>
      </c>
    </row>
    <row r="25321">
      <c r="A25321" s="8" t="inlineStr">
        <is>
          <t>2026-08-05</t>
        </is>
      </c>
      <c r="B25321" s="8" t="n">
        <v>15</v>
      </c>
      <c r="C25321" s="8" t="n">
        <v>15</v>
      </c>
      <c r="D25321" s="8" t="inlineStr">
        <is>
          <t>Disneyland Park</t>
        </is>
      </c>
      <c r="E25321" s="8" t="inlineStr">
        <is>
          <t>Disneyland Railroad Main Street Station</t>
        </is>
      </c>
      <c r="F25321" s="8" t="inlineStr">
        <is>
          <t>STANDBY</t>
        </is>
      </c>
      <c r="G25321" s="8" t="n">
        <v>10</v>
      </c>
      <c r="H25321" s="8" t="inlineStr">
        <is>
          <t>OPERATING</t>
        </is>
      </c>
    </row>
    <row r="25322">
      <c r="A25322" s="8" t="inlineStr">
        <is>
          <t>2026-08-05</t>
        </is>
      </c>
      <c r="B25322" s="8" t="n">
        <v>15</v>
      </c>
      <c r="C25322" s="8" t="n">
        <v>15</v>
      </c>
      <c r="D25322" s="8" t="inlineStr">
        <is>
          <t>Disneyland Park</t>
        </is>
      </c>
      <c r="E25322" s="8" t="inlineStr">
        <is>
          <t>Dumbo the Flying Elephant</t>
        </is>
      </c>
      <c r="F25322" s="8" t="inlineStr">
        <is>
          <t>STANDBY</t>
        </is>
      </c>
      <c r="G25322" s="8" t="n">
        <v>35</v>
      </c>
      <c r="H25322" s="8" t="inlineStr">
        <is>
          <t>OPERATING</t>
        </is>
      </c>
    </row>
    <row r="25323">
      <c r="A25323" s="8" t="inlineStr">
        <is>
          <t>2026-08-05</t>
        </is>
      </c>
      <c r="B25323" s="8" t="n">
        <v>15</v>
      </c>
      <c r="C25323" s="8" t="n">
        <v>15</v>
      </c>
      <c r="D25323" s="8" t="inlineStr">
        <is>
          <t>Disneyland Park</t>
        </is>
      </c>
      <c r="E25323" s="8" t="inlineStr">
        <is>
          <t>La Tanière du Dragon</t>
        </is>
      </c>
      <c r="F25323" s="8" t="inlineStr">
        <is>
          <t>STANDBY</t>
        </is>
      </c>
      <c r="G25323" s="8" t="n">
        <v>0</v>
      </c>
      <c r="H25323" s="8" t="inlineStr">
        <is>
          <t>OPERATING</t>
        </is>
      </c>
    </row>
    <row r="25324">
      <c r="A25324" s="8" t="inlineStr">
        <is>
          <t>2026-08-05</t>
        </is>
      </c>
      <c r="B25324" s="8" t="n">
        <v>15</v>
      </c>
      <c r="C25324" s="8" t="n">
        <v>15</v>
      </c>
      <c r="D25324" s="8" t="inlineStr">
        <is>
          <t>Disneyland Park</t>
        </is>
      </c>
      <c r="E25324" s="8" t="inlineStr">
        <is>
          <t>Le Carrousel de Lancelot</t>
        </is>
      </c>
      <c r="F25324" s="8" t="inlineStr">
        <is>
          <t>STANDBY</t>
        </is>
      </c>
      <c r="G25324" s="8" t="n">
        <v>15</v>
      </c>
      <c r="H25324" s="8" t="inlineStr">
        <is>
          <t>OPERATING</t>
        </is>
      </c>
    </row>
    <row r="25325">
      <c r="A25325" s="8" t="inlineStr">
        <is>
          <t>2026-08-05</t>
        </is>
      </c>
      <c r="B25325" s="8" t="n">
        <v>15</v>
      </c>
      <c r="C25325" s="8" t="n">
        <v>15</v>
      </c>
      <c r="D25325" s="8" t="inlineStr">
        <is>
          <t>Disneyland Park</t>
        </is>
      </c>
      <c r="E25325" s="8" t="inlineStr">
        <is>
          <t>Le Pays des Contes de Fées, presented by Vittel</t>
        </is>
      </c>
      <c r="F25325" s="8" t="inlineStr">
        <is>
          <t>STANDBY</t>
        </is>
      </c>
      <c r="G25325" s="8" t="n">
        <v>5</v>
      </c>
      <c r="H25325" s="8" t="inlineStr">
        <is>
          <t>OPERATING</t>
        </is>
      </c>
    </row>
    <row r="25326">
      <c r="A25326" s="8" t="inlineStr">
        <is>
          <t>2026-08-05</t>
        </is>
      </c>
      <c r="B25326" s="8" t="n">
        <v>15</v>
      </c>
      <c r="C25326" s="8" t="n">
        <v>15</v>
      </c>
      <c r="D25326" s="8" t="inlineStr">
        <is>
          <t>Disneyland Park</t>
        </is>
      </c>
      <c r="E25326" s="8" t="inlineStr">
        <is>
          <t>Les Voyages de Pinocchio</t>
        </is>
      </c>
      <c r="F25326" s="8" t="inlineStr">
        <is>
          <t>STANDBY</t>
        </is>
      </c>
      <c r="G25326" s="8" t="n">
        <v>25</v>
      </c>
      <c r="H25326" s="8" t="inlineStr">
        <is>
          <t>OPERATING</t>
        </is>
      </c>
    </row>
    <row r="25327">
      <c r="A25327" s="8" t="inlineStr">
        <is>
          <t>2026-08-05</t>
        </is>
      </c>
      <c r="B25327" s="8" t="n">
        <v>15</v>
      </c>
      <c r="C25327" s="8" t="n">
        <v>15</v>
      </c>
      <c r="D25327" s="8" t="inlineStr">
        <is>
          <t>Disneyland Park</t>
        </is>
      </c>
      <c r="E25327" s="8" t="inlineStr">
        <is>
          <t>Mad Hatter's Tea Cups</t>
        </is>
      </c>
      <c r="F25327" s="8" t="inlineStr">
        <is>
          <t>STANDBY</t>
        </is>
      </c>
      <c r="G25327" s="8" t="n">
        <v>10</v>
      </c>
      <c r="H25327" s="8" t="inlineStr">
        <is>
          <t>OPERATING</t>
        </is>
      </c>
    </row>
    <row r="25328">
      <c r="A25328" s="8" t="inlineStr">
        <is>
          <t>2026-08-05</t>
        </is>
      </c>
      <c r="B25328" s="8" t="n">
        <v>15</v>
      </c>
      <c r="C25328" s="8" t="n">
        <v>15</v>
      </c>
      <c r="D25328" s="8" t="inlineStr">
        <is>
          <t>Disneyland Park</t>
        </is>
      </c>
      <c r="E25328" s="8" t="inlineStr">
        <is>
          <t>Meet Mickey Mouse</t>
        </is>
      </c>
      <c r="F25328" s="8" t="inlineStr">
        <is>
          <t>STANDBY</t>
        </is>
      </c>
      <c r="G25328" s="8" t="n">
        <v>0</v>
      </c>
      <c r="H25328" s="8" t="inlineStr">
        <is>
          <t>OPERATING</t>
        </is>
      </c>
    </row>
    <row r="25329">
      <c r="A25329" s="8" t="inlineStr">
        <is>
          <t>2026-08-05</t>
        </is>
      </c>
      <c r="B25329" s="8" t="n">
        <v>15</v>
      </c>
      <c r="C25329" s="8" t="n">
        <v>15</v>
      </c>
      <c r="D25329" s="8" t="inlineStr">
        <is>
          <t>Disneyland Park</t>
        </is>
      </c>
      <c r="E25329" s="8" t="inlineStr">
        <is>
          <t>Peter Pan's Flight</t>
        </is>
      </c>
      <c r="F25329" s="8" t="inlineStr">
        <is>
          <t>STANDBY</t>
        </is>
      </c>
      <c r="G25329" s="8" t="n">
        <v>60</v>
      </c>
      <c r="H25329" s="8" t="inlineStr">
        <is>
          <t>OPERATING</t>
        </is>
      </c>
    </row>
    <row r="25330">
      <c r="A25330" s="8" t="inlineStr">
        <is>
          <t>2026-08-05</t>
        </is>
      </c>
      <c r="B25330" s="8" t="n">
        <v>15</v>
      </c>
      <c r="C25330" s="8" t="n">
        <v>15</v>
      </c>
      <c r="D25330" s="8" t="inlineStr">
        <is>
          <t>Disneyland Park</t>
        </is>
      </c>
      <c r="E25330" s="8" t="inlineStr">
        <is>
          <t>Princess Pavilion</t>
        </is>
      </c>
      <c r="F25330" s="8" t="inlineStr">
        <is>
          <t>STANDBY</t>
        </is>
      </c>
      <c r="G25330" s="8" t="n">
        <v>0</v>
      </c>
      <c r="H25330" s="8" t="inlineStr">
        <is>
          <t>OPERATING</t>
        </is>
      </c>
    </row>
    <row r="25331">
      <c r="A25331" s="8" t="inlineStr">
        <is>
          <t>2026-08-05</t>
        </is>
      </c>
      <c r="B25331" s="8" t="n">
        <v>15</v>
      </c>
      <c r="C25331" s="8" t="n">
        <v>15</v>
      </c>
      <c r="D25331" s="8" t="inlineStr">
        <is>
          <t>Disneyland Park</t>
        </is>
      </c>
      <c r="E25331" s="8" t="inlineStr">
        <is>
          <t>Big Thunder Mountain</t>
        </is>
      </c>
      <c r="F25331" s="8" t="inlineStr">
        <is>
          <t>STANDBY</t>
        </is>
      </c>
      <c r="G25331" s="8" t="n">
        <v>80</v>
      </c>
      <c r="H25331" s="8" t="inlineStr">
        <is>
          <t>OPERATING</t>
        </is>
      </c>
    </row>
    <row r="25332">
      <c r="A25332" s="8" t="inlineStr">
        <is>
          <t>2026-08-05</t>
        </is>
      </c>
      <c r="B25332" s="8" t="n">
        <v>15</v>
      </c>
      <c r="C25332" s="8" t="n">
        <v>15</v>
      </c>
      <c r="D25332" s="8" t="inlineStr">
        <is>
          <t>Disneyland Park</t>
        </is>
      </c>
      <c r="E25332" s="8" t="inlineStr">
        <is>
          <t>Disneyland Railroad Frontierland Depot</t>
        </is>
      </c>
      <c r="F25332" s="8" t="inlineStr">
        <is>
          <t>STANDBY</t>
        </is>
      </c>
      <c r="G25332" s="8" t="n">
        <v>10</v>
      </c>
      <c r="H25332" s="8" t="inlineStr">
        <is>
          <t>OPERATING</t>
        </is>
      </c>
    </row>
    <row r="25333">
      <c r="A25333" s="8" t="inlineStr">
        <is>
          <t>2026-08-05</t>
        </is>
      </c>
      <c r="B25333" s="8" t="n">
        <v>15</v>
      </c>
      <c r="C25333" s="8" t="n">
        <v>15</v>
      </c>
      <c r="D25333" s="8" t="inlineStr">
        <is>
          <t>Disneyland Park</t>
        </is>
      </c>
      <c r="E25333" s="8" t="inlineStr">
        <is>
          <t>Frontierland Playground</t>
        </is>
      </c>
      <c r="F25333" s="8" t="inlineStr">
        <is>
          <t>STANDBY</t>
        </is>
      </c>
      <c r="G25333" s="8" t="n">
        <v>0</v>
      </c>
      <c r="H25333" s="8" t="inlineStr">
        <is>
          <t>OPERATING</t>
        </is>
      </c>
    </row>
    <row r="25334">
      <c r="A25334" s="8" t="inlineStr">
        <is>
          <t>2026-08-05</t>
        </is>
      </c>
      <c r="B25334" s="8" t="n">
        <v>15</v>
      </c>
      <c r="C25334" s="8" t="n">
        <v>15</v>
      </c>
      <c r="D25334" s="8" t="inlineStr">
        <is>
          <t>Disneyland Park</t>
        </is>
      </c>
      <c r="E25334" s="8" t="inlineStr">
        <is>
          <t>Phantom Manor</t>
        </is>
      </c>
      <c r="F25334" s="8" t="inlineStr">
        <is>
          <t>STANDBY</t>
        </is>
      </c>
      <c r="G25334" s="8" t="n">
        <v>20</v>
      </c>
      <c r="H25334" s="8" t="inlineStr">
        <is>
          <t>OPERATING</t>
        </is>
      </c>
    </row>
    <row r="25335">
      <c r="A25335" s="8" t="inlineStr">
        <is>
          <t>2026-08-05</t>
        </is>
      </c>
      <c r="B25335" s="8" t="n">
        <v>15</v>
      </c>
      <c r="C25335" s="8" t="n">
        <v>15</v>
      </c>
      <c r="D25335" s="8" t="inlineStr">
        <is>
          <t>Disneyland Park</t>
        </is>
      </c>
      <c r="E25335" s="8" t="inlineStr">
        <is>
          <t>River Rogue Keelboats</t>
        </is>
      </c>
      <c r="F25335" s="8" t="inlineStr">
        <is>
          <t>STANDBY</t>
        </is>
      </c>
      <c r="G25335" s="8" t="n">
        <v>0</v>
      </c>
      <c r="H25335" s="8" t="inlineStr">
        <is>
          <t>CLOSED</t>
        </is>
      </c>
    </row>
    <row r="25336">
      <c r="A25336" s="8" t="inlineStr">
        <is>
          <t>2026-08-05</t>
        </is>
      </c>
      <c r="B25336" s="8" t="n">
        <v>15</v>
      </c>
      <c r="C25336" s="8" t="n">
        <v>15</v>
      </c>
      <c r="D25336" s="8" t="inlineStr">
        <is>
          <t>Disneyland Park</t>
        </is>
      </c>
      <c r="E25336" s="8" t="inlineStr">
        <is>
          <t>Rustler Roundup Shootin' Gallery</t>
        </is>
      </c>
      <c r="F25336" s="8" t="inlineStr">
        <is>
          <t>STANDBY</t>
        </is>
      </c>
      <c r="G25336" s="8" t="n">
        <v>0</v>
      </c>
      <c r="H25336" s="8" t="inlineStr">
        <is>
          <t>OPERATING</t>
        </is>
      </c>
    </row>
    <row r="25337">
      <c r="A25337" s="8" t="inlineStr">
        <is>
          <t>2026-08-05</t>
        </is>
      </c>
      <c r="B25337" s="8" t="n">
        <v>15</v>
      </c>
      <c r="C25337" s="8" t="n">
        <v>15</v>
      </c>
      <c r="D25337" s="8" t="inlineStr">
        <is>
          <t>Disneyland Park</t>
        </is>
      </c>
      <c r="E25337" s="8" t="inlineStr">
        <is>
          <t>Thunder Mesa Riverboat Landing</t>
        </is>
      </c>
      <c r="F25337" s="8" t="inlineStr">
        <is>
          <t>STANDBY</t>
        </is>
      </c>
      <c r="G25337" s="8" t="n">
        <v>20</v>
      </c>
      <c r="H25337" s="8" t="inlineStr">
        <is>
          <t>OPERATING</t>
        </is>
      </c>
    </row>
    <row r="25338">
      <c r="A25338" s="8" t="inlineStr">
        <is>
          <t>2026-08-05</t>
        </is>
      </c>
      <c r="B25338" s="8" t="n">
        <v>15</v>
      </c>
      <c r="C25338" s="8" t="n">
        <v>15</v>
      </c>
      <c r="D25338" s="8" t="inlineStr">
        <is>
          <t>Disneyland Park</t>
        </is>
      </c>
      <c r="E25338" s="8" t="inlineStr">
        <is>
          <t>Disneyland Railroad Main Street Station</t>
        </is>
      </c>
      <c r="F25338" s="8" t="inlineStr">
        <is>
          <t>STANDBY</t>
        </is>
      </c>
      <c r="G25338" s="8" t="n">
        <v>0</v>
      </c>
      <c r="H25338" s="8" t="inlineStr">
        <is>
          <t>OPERATING</t>
        </is>
      </c>
    </row>
    <row r="25339">
      <c r="A25339" s="8" t="inlineStr">
        <is>
          <t>2026-08-05</t>
        </is>
      </c>
      <c r="B25339" s="8" t="n">
        <v>15</v>
      </c>
      <c r="C25339" s="8" t="n">
        <v>15</v>
      </c>
      <c r="D25339" s="8" t="inlineStr">
        <is>
          <t>Disneyland Park</t>
        </is>
      </c>
      <c r="E25339" s="8" t="inlineStr">
        <is>
          <t>Main Street Vehicles</t>
        </is>
      </c>
      <c r="F25339" s="8" t="inlineStr">
        <is>
          <t>STANDBY</t>
        </is>
      </c>
      <c r="G25339" s="8" t="n">
        <v>0</v>
      </c>
      <c r="H25339" s="8" t="inlineStr">
        <is>
          <t>CLOSED</t>
        </is>
      </c>
    </row>
    <row r="25340">
      <c r="A25340" s="8" t="inlineStr">
        <is>
          <t>2026-08-05</t>
        </is>
      </c>
      <c r="B25340" s="8" t="n">
        <v>15</v>
      </c>
      <c r="C25340" s="8" t="n">
        <v>15</v>
      </c>
      <c r="D25340" s="8" t="inlineStr">
        <is>
          <t>Disney Adventure World</t>
        </is>
      </c>
      <c r="E25340" s="8" t="inlineStr">
        <is>
          <t>Avengers Assemble: Flight Force</t>
        </is>
      </c>
      <c r="F25340" s="8" t="inlineStr">
        <is>
          <t>STANDBY</t>
        </is>
      </c>
      <c r="G25340" s="8" t="n">
        <v>30</v>
      </c>
      <c r="H25340" s="8" t="inlineStr">
        <is>
          <t>OPERATING</t>
        </is>
      </c>
    </row>
    <row r="25341">
      <c r="A25341" s="8" t="inlineStr">
        <is>
          <t>2026-08-05</t>
        </is>
      </c>
      <c r="B25341" s="8" t="n">
        <v>15</v>
      </c>
      <c r="C25341" s="8" t="n">
        <v>15</v>
      </c>
      <c r="D25341" s="8" t="inlineStr">
        <is>
          <t>Disney Adventure World</t>
        </is>
      </c>
      <c r="E25341" s="8" t="inlineStr">
        <is>
          <t>Avengers Assemble: Flight Force Single Rider</t>
        </is>
      </c>
      <c r="F25341" s="8" t="inlineStr">
        <is>
          <t>STANDBY</t>
        </is>
      </c>
      <c r="G25341" s="8" t="n">
        <v>20</v>
      </c>
      <c r="H25341" s="8" t="inlineStr">
        <is>
          <t>OPERATING</t>
        </is>
      </c>
    </row>
    <row r="25342">
      <c r="A25342" s="8" t="inlineStr">
        <is>
          <t>2026-08-05</t>
        </is>
      </c>
      <c r="B25342" s="8" t="n">
        <v>15</v>
      </c>
      <c r="C25342" s="8" t="n">
        <v>15</v>
      </c>
      <c r="D25342" s="8" t="inlineStr">
        <is>
          <t>Disney Adventure World</t>
        </is>
      </c>
      <c r="E25342" s="8" t="inlineStr">
        <is>
          <t>Spider-Man W.E.B. Adventure</t>
        </is>
      </c>
      <c r="F25342" s="8" t="inlineStr">
        <is>
          <t>STANDBY</t>
        </is>
      </c>
      <c r="G25342" s="8" t="n">
        <v>60</v>
      </c>
      <c r="H25342" s="8" t="inlineStr">
        <is>
          <t>OPERATING</t>
        </is>
      </c>
    </row>
    <row r="25343">
      <c r="A25343" s="8" t="inlineStr">
        <is>
          <t>2026-08-05</t>
        </is>
      </c>
      <c r="B25343" s="8" t="n">
        <v>15</v>
      </c>
      <c r="C25343" s="8" t="n">
        <v>15</v>
      </c>
      <c r="D25343" s="8" t="inlineStr">
        <is>
          <t>Disney Adventure World</t>
        </is>
      </c>
      <c r="E25343" s="8" t="inlineStr">
        <is>
          <t>Spider-Man W.E.B. Adventure Single Rider</t>
        </is>
      </c>
      <c r="F25343" s="8" t="inlineStr">
        <is>
          <t>STANDBY</t>
        </is>
      </c>
      <c r="G25343" s="8" t="n">
        <v>30</v>
      </c>
      <c r="H25343" s="8" t="inlineStr">
        <is>
          <t>OPERATING</t>
        </is>
      </c>
    </row>
    <row r="25344">
      <c r="A25344" s="8" t="inlineStr">
        <is>
          <t>2026-08-05</t>
        </is>
      </c>
      <c r="B25344" s="8" t="n">
        <v>15</v>
      </c>
      <c r="C25344" s="8" t="n">
        <v>15</v>
      </c>
      <c r="D25344" s="8" t="inlineStr">
        <is>
          <t>Disney Adventure World</t>
        </is>
      </c>
      <c r="E25344" s="8" t="inlineStr">
        <is>
          <t>The Twilight Zone Tower of Terror</t>
        </is>
      </c>
      <c r="F25344" s="8" t="inlineStr">
        <is>
          <t>STANDBY</t>
        </is>
      </c>
      <c r="G25344" s="8" t="n">
        <v>25</v>
      </c>
      <c r="H25344" s="8" t="inlineStr">
        <is>
          <t>OPERATING</t>
        </is>
      </c>
    </row>
    <row r="25345">
      <c r="A25345" s="8" t="inlineStr">
        <is>
          <t>2026-08-05</t>
        </is>
      </c>
      <c r="B25345" s="8" t="n">
        <v>15</v>
      </c>
      <c r="C25345" s="8" t="n">
        <v>15</v>
      </c>
      <c r="D25345" s="8" t="inlineStr">
        <is>
          <t>Disney Adventure World</t>
        </is>
      </c>
      <c r="E25345" s="8" t="inlineStr">
        <is>
          <t>Cars Quatre Roues Rallye</t>
        </is>
      </c>
      <c r="F25345" s="8" t="inlineStr">
        <is>
          <t>STANDBY</t>
        </is>
      </c>
      <c r="G25345" s="8" t="n">
        <v>20</v>
      </c>
      <c r="H25345" s="8" t="inlineStr">
        <is>
          <t>OPERATING</t>
        </is>
      </c>
    </row>
    <row r="25346">
      <c r="A25346" s="8" t="inlineStr">
        <is>
          <t>2026-08-05</t>
        </is>
      </c>
      <c r="B25346" s="8" t="n">
        <v>15</v>
      </c>
      <c r="C25346" s="8" t="n">
        <v>15</v>
      </c>
      <c r="D25346" s="8" t="inlineStr">
        <is>
          <t>Disney Adventure World</t>
        </is>
      </c>
      <c r="E25346" s="8" t="inlineStr">
        <is>
          <t>Cars ROAD TRIP</t>
        </is>
      </c>
      <c r="F25346" s="8" t="inlineStr">
        <is>
          <t>STANDBY</t>
        </is>
      </c>
      <c r="G25346" s="8" t="n">
        <v>20</v>
      </c>
      <c r="H25346" s="8" t="inlineStr">
        <is>
          <t>OPERATING</t>
        </is>
      </c>
    </row>
    <row r="25347">
      <c r="A25347" s="8" t="inlineStr">
        <is>
          <t>2026-08-05</t>
        </is>
      </c>
      <c r="B25347" s="8" t="n">
        <v>15</v>
      </c>
      <c r="C25347" s="8" t="n">
        <v>15</v>
      </c>
      <c r="D25347" s="8" t="inlineStr">
        <is>
          <t>Disney Adventure World</t>
        </is>
      </c>
      <c r="E25347" s="8" t="inlineStr">
        <is>
          <t>Crush's Coaster</t>
        </is>
      </c>
      <c r="F25347" s="8" t="inlineStr">
        <is>
          <t>STANDBY</t>
        </is>
      </c>
      <c r="G25347" s="8" t="n">
        <v>80</v>
      </c>
      <c r="H25347" s="8" t="inlineStr">
        <is>
          <t>OPERATING</t>
        </is>
      </c>
    </row>
    <row r="25348">
      <c r="A25348" s="8" t="inlineStr">
        <is>
          <t>2026-08-05</t>
        </is>
      </c>
      <c r="B25348" s="8" t="n">
        <v>15</v>
      </c>
      <c r="C25348" s="8" t="n">
        <v>15</v>
      </c>
      <c r="D25348" s="8" t="inlineStr">
        <is>
          <t>Disney Adventure World</t>
        </is>
      </c>
      <c r="E25348" s="8" t="inlineStr">
        <is>
          <t>Crush's Coaster Single Rider</t>
        </is>
      </c>
      <c r="F25348" s="8" t="inlineStr">
        <is>
          <t>STANDBY</t>
        </is>
      </c>
      <c r="G25348" s="8" t="n">
        <v>60</v>
      </c>
      <c r="H25348" s="8" t="inlineStr">
        <is>
          <t>OPERATING</t>
        </is>
      </c>
    </row>
    <row r="25349">
      <c r="A25349" s="8" t="inlineStr">
        <is>
          <t>2026-08-05</t>
        </is>
      </c>
      <c r="B25349" s="8" t="n">
        <v>15</v>
      </c>
      <c r="C25349" s="8" t="n">
        <v>15</v>
      </c>
      <c r="D25349" s="8" t="inlineStr">
        <is>
          <t>Disney Adventure World</t>
        </is>
      </c>
      <c r="E25349" s="8" t="inlineStr">
        <is>
          <t>Les Tapis Volants - Flying Carpets Over Agrabah®</t>
        </is>
      </c>
      <c r="F25349" s="8" t="inlineStr">
        <is>
          <t>STANDBY</t>
        </is>
      </c>
      <c r="G25349" s="8" t="n">
        <v>30</v>
      </c>
      <c r="H25349" s="8" t="inlineStr">
        <is>
          <t>OPERATING</t>
        </is>
      </c>
    </row>
    <row r="25350">
      <c r="A25350" s="8" t="inlineStr">
        <is>
          <t>2026-08-05</t>
        </is>
      </c>
      <c r="B25350" s="8" t="n">
        <v>15</v>
      </c>
      <c r="C25350" s="8" t="n">
        <v>15</v>
      </c>
      <c r="D25350" s="8" t="inlineStr">
        <is>
          <t>Disney Adventure World</t>
        </is>
      </c>
      <c r="E25350" s="8" t="inlineStr">
        <is>
          <t>Ratatouille : L’Aventure Totalement Toquée de Rémy​</t>
        </is>
      </c>
      <c r="F25350" s="8" t="inlineStr">
        <is>
          <t>STANDBY</t>
        </is>
      </c>
      <c r="G25350" s="8" t="n">
        <v>55</v>
      </c>
      <c r="H25350" s="8" t="inlineStr">
        <is>
          <t>OPERATING</t>
        </is>
      </c>
    </row>
    <row r="25351">
      <c r="A25351" s="8" t="inlineStr">
        <is>
          <t>2026-08-05</t>
        </is>
      </c>
      <c r="B25351" s="8" t="n">
        <v>15</v>
      </c>
      <c r="C25351" s="8" t="n">
        <v>15</v>
      </c>
      <c r="D25351" s="8" t="inlineStr">
        <is>
          <t>Disney Adventure World</t>
        </is>
      </c>
      <c r="E25351" s="8" t="inlineStr">
        <is>
          <t>Ratatouille: The Adventure Single Rider</t>
        </is>
      </c>
      <c r="F25351" s="8" t="inlineStr">
        <is>
          <t>STANDBY</t>
        </is>
      </c>
      <c r="G25351" s="8" t="n">
        <v>15</v>
      </c>
      <c r="H25351" s="8" t="inlineStr">
        <is>
          <t>OPERATING</t>
        </is>
      </c>
    </row>
    <row r="25352">
      <c r="A25352" s="8" t="inlineStr">
        <is>
          <t>2026-08-05</t>
        </is>
      </c>
      <c r="B25352" s="8" t="n">
        <v>15</v>
      </c>
      <c r="C25352" s="8" t="n">
        <v>15</v>
      </c>
      <c r="D25352" s="8" t="inlineStr">
        <is>
          <t>Disney Adventure World</t>
        </is>
      </c>
      <c r="E25352" s="8" t="inlineStr">
        <is>
          <t>RC Racer</t>
        </is>
      </c>
      <c r="F25352" s="8" t="inlineStr">
        <is>
          <t>STANDBY</t>
        </is>
      </c>
      <c r="G25352" s="8" t="n">
        <v>55</v>
      </c>
      <c r="H25352" s="8" t="inlineStr">
        <is>
          <t>OPERATING</t>
        </is>
      </c>
    </row>
    <row r="25353">
      <c r="A25353" s="8" t="inlineStr">
        <is>
          <t>2026-08-05</t>
        </is>
      </c>
      <c r="B25353" s="8" t="n">
        <v>15</v>
      </c>
      <c r="C25353" s="8" t="n">
        <v>15</v>
      </c>
      <c r="D25353" s="8" t="inlineStr">
        <is>
          <t>Disney Adventure World</t>
        </is>
      </c>
      <c r="E25353" s="8" t="inlineStr">
        <is>
          <t>RC Racer Single Rider</t>
        </is>
      </c>
      <c r="F25353" s="8" t="inlineStr">
        <is>
          <t>STANDBY</t>
        </is>
      </c>
      <c r="G25353" s="8" t="n">
        <v>50</v>
      </c>
      <c r="H25353" s="8" t="inlineStr">
        <is>
          <t>OPERATING</t>
        </is>
      </c>
    </row>
    <row r="25354">
      <c r="A25354" s="8" t="inlineStr">
        <is>
          <t>2026-08-05</t>
        </is>
      </c>
      <c r="B25354" s="8" t="n">
        <v>15</v>
      </c>
      <c r="C25354" s="8" t="n">
        <v>15</v>
      </c>
      <c r="D25354" s="8" t="inlineStr">
        <is>
          <t>Disney Adventure World</t>
        </is>
      </c>
      <c r="E25354" s="8" t="inlineStr">
        <is>
          <t>Slinky® Dog Zigzag Spin</t>
        </is>
      </c>
      <c r="F25354" s="8" t="inlineStr">
        <is>
          <t>STANDBY</t>
        </is>
      </c>
      <c r="G25354" s="8" t="n">
        <v>15</v>
      </c>
      <c r="H25354" s="8" t="inlineStr">
        <is>
          <t>OPERATING</t>
        </is>
      </c>
    </row>
    <row r="25355">
      <c r="A25355" s="8" t="inlineStr">
        <is>
          <t>2026-08-05</t>
        </is>
      </c>
      <c r="B25355" s="8" t="n">
        <v>15</v>
      </c>
      <c r="C25355" s="8" t="n">
        <v>15</v>
      </c>
      <c r="D25355" s="8" t="inlineStr">
        <is>
          <t>Disney Adventure World</t>
        </is>
      </c>
      <c r="E25355" s="8" t="inlineStr">
        <is>
          <t>Toy Soldiers Parachute Drop</t>
        </is>
      </c>
      <c r="F25355" s="8" t="inlineStr">
        <is>
          <t>STANDBY</t>
        </is>
      </c>
      <c r="G25355" s="8" t="n">
        <v>50</v>
      </c>
      <c r="H25355" s="8" t="inlineStr">
        <is>
          <t>OPERATING</t>
        </is>
      </c>
    </row>
    <row r="25356">
      <c r="A25356" s="8" t="inlineStr">
        <is>
          <t>2026-08-05</t>
        </is>
      </c>
      <c r="B25356" s="8" t="n">
        <v>15</v>
      </c>
      <c r="C25356" s="8" t="n">
        <v>15</v>
      </c>
      <c r="D25356" s="8" t="inlineStr">
        <is>
          <t>Disney Adventure World</t>
        </is>
      </c>
      <c r="E25356" s="8" t="inlineStr">
        <is>
          <t>Toy Soldiers Parachute Drop Single Rider</t>
        </is>
      </c>
      <c r="F25356" s="8" t="inlineStr">
        <is>
          <t>STANDBY</t>
        </is>
      </c>
      <c r="G25356" s="8" t="n">
        <v>15</v>
      </c>
      <c r="H25356" s="8" t="inlineStr">
        <is>
          <t>OPERATING</t>
        </is>
      </c>
    </row>
    <row r="25357">
      <c r="A25357" s="8" t="inlineStr">
        <is>
          <t>2026-08-05</t>
        </is>
      </c>
      <c r="B25357" s="8" t="n">
        <v>15</v>
      </c>
      <c r="C25357" s="8" t="n">
        <v>15</v>
      </c>
      <c r="D25357" s="8" t="inlineStr">
        <is>
          <t>Disney Adventure World</t>
        </is>
      </c>
      <c r="E25357" s="8" t="inlineStr">
        <is>
          <t>Entry to World of Frozen</t>
        </is>
      </c>
      <c r="F25357" s="8" t="inlineStr">
        <is>
          <t>STANDBY</t>
        </is>
      </c>
      <c r="G25357" s="8" t="n">
        <v>0</v>
      </c>
      <c r="H25357" s="8" t="inlineStr">
        <is>
          <t>OPERATING</t>
        </is>
      </c>
    </row>
    <row r="25358">
      <c r="A25358" s="8" t="inlineStr">
        <is>
          <t>2026-08-05</t>
        </is>
      </c>
      <c r="B25358" s="8" t="n">
        <v>15</v>
      </c>
      <c r="C25358" s="8" t="n">
        <v>15</v>
      </c>
      <c r="D25358" s="8" t="inlineStr">
        <is>
          <t>Disney Adventure World</t>
        </is>
      </c>
      <c r="E25358" s="8" t="inlineStr">
        <is>
          <t>Frozen Ever After</t>
        </is>
      </c>
      <c r="F25358" s="8" t="inlineStr">
        <is>
          <t>STANDBY</t>
        </is>
      </c>
      <c r="G25358" s="8" t="n">
        <v>65</v>
      </c>
      <c r="H25358" s="8" t="inlineStr">
        <is>
          <t>OPERATING</t>
        </is>
      </c>
    </row>
    <row r="25359">
      <c r="A25359" s="8" t="inlineStr">
        <is>
          <t>2026-08-05</t>
        </is>
      </c>
      <c r="B25359" s="8" t="n">
        <v>15</v>
      </c>
      <c r="C25359" s="8" t="n">
        <v>15</v>
      </c>
      <c r="D25359" s="8" t="inlineStr">
        <is>
          <t>Disney Adventure World</t>
        </is>
      </c>
      <c r="E25359" s="8" t="inlineStr">
        <is>
          <t>Raiponce Tangled Spin</t>
        </is>
      </c>
      <c r="F25359" s="8" t="inlineStr">
        <is>
          <t>STANDBY</t>
        </is>
      </c>
      <c r="G25359" s="8" t="n">
        <v>15</v>
      </c>
      <c r="H25359" s="8" t="inlineStr">
        <is>
          <t>OPERATING</t>
        </is>
      </c>
    </row>
    <row r="25360">
      <c r="A25360" s="8" t="inlineStr">
        <is>
          <t>2026-08-05</t>
        </is>
      </c>
      <c r="B25360" s="8" t="n">
        <v>15</v>
      </c>
      <c r="C25360" s="8" t="n">
        <v>31</v>
      </c>
      <c r="D25360" s="8" t="inlineStr">
        <is>
          <t>Disneyland Park</t>
        </is>
      </c>
      <c r="E25360" s="8" t="inlineStr">
        <is>
          <t>Adventure Isle</t>
        </is>
      </c>
      <c r="F25360" s="8" t="inlineStr">
        <is>
          <t>STANDBY</t>
        </is>
      </c>
      <c r="G25360" s="8" t="n">
        <v>0</v>
      </c>
      <c r="H25360" s="8" t="inlineStr">
        <is>
          <t>OPERATING</t>
        </is>
      </c>
    </row>
    <row r="25361">
      <c r="A25361" s="8" t="inlineStr">
        <is>
          <t>2026-08-05</t>
        </is>
      </c>
      <c r="B25361" s="8" t="n">
        <v>15</v>
      </c>
      <c r="C25361" s="8" t="n">
        <v>31</v>
      </c>
      <c r="D25361" s="8" t="inlineStr">
        <is>
          <t>Disneyland Park</t>
        </is>
      </c>
      <c r="E25361" s="8" t="inlineStr">
        <is>
          <t>Indiana Jones and the Temple of Peril Single Rider</t>
        </is>
      </c>
      <c r="F25361" s="8" t="inlineStr">
        <is>
          <t>STANDBY</t>
        </is>
      </c>
      <c r="G25361" s="8" t="n">
        <v>25</v>
      </c>
      <c r="H25361" s="8" t="inlineStr">
        <is>
          <t>OPERATING</t>
        </is>
      </c>
    </row>
    <row r="25362">
      <c r="A25362" s="8" t="inlineStr">
        <is>
          <t>2026-08-05</t>
        </is>
      </c>
      <c r="B25362" s="8" t="n">
        <v>15</v>
      </c>
      <c r="C25362" s="8" t="n">
        <v>31</v>
      </c>
      <c r="D25362" s="8" t="inlineStr">
        <is>
          <t>Disneyland Park</t>
        </is>
      </c>
      <c r="E25362" s="8" t="inlineStr">
        <is>
          <t>Indiana Jones™ and the Temple of Peril</t>
        </is>
      </c>
      <c r="F25362" s="8" t="inlineStr">
        <is>
          <t>STANDBY</t>
        </is>
      </c>
      <c r="G25362" s="8" t="n">
        <v>40</v>
      </c>
      <c r="H25362" s="8" t="inlineStr">
        <is>
          <t>OPERATING</t>
        </is>
      </c>
    </row>
    <row r="25363">
      <c r="A25363" s="8" t="inlineStr">
        <is>
          <t>2026-08-05</t>
        </is>
      </c>
      <c r="B25363" s="8" t="n">
        <v>15</v>
      </c>
      <c r="C25363" s="8" t="n">
        <v>31</v>
      </c>
      <c r="D25363" s="8" t="inlineStr">
        <is>
          <t>Disneyland Park</t>
        </is>
      </c>
      <c r="E25363" s="8" t="inlineStr">
        <is>
          <t>La Cabane des Robinson</t>
        </is>
      </c>
      <c r="F25363" s="8" t="inlineStr">
        <is>
          <t>STANDBY</t>
        </is>
      </c>
      <c r="G25363" s="8" t="n">
        <v>5</v>
      </c>
      <c r="H25363" s="8" t="inlineStr">
        <is>
          <t>OPERATING</t>
        </is>
      </c>
    </row>
    <row r="25364">
      <c r="A25364" s="8" t="inlineStr">
        <is>
          <t>2026-08-05</t>
        </is>
      </c>
      <c r="B25364" s="8" t="n">
        <v>15</v>
      </c>
      <c r="C25364" s="8" t="n">
        <v>31</v>
      </c>
      <c r="D25364" s="8" t="inlineStr">
        <is>
          <t>Disneyland Park</t>
        </is>
      </c>
      <c r="E25364" s="8" t="inlineStr">
        <is>
          <t>Le Passage Enchanté d'Aladdin</t>
        </is>
      </c>
      <c r="F25364" s="8" t="inlineStr">
        <is>
          <t>STANDBY</t>
        </is>
      </c>
      <c r="G25364" s="8" t="n">
        <v>0</v>
      </c>
      <c r="H25364" s="8" t="inlineStr">
        <is>
          <t>OPERATING</t>
        </is>
      </c>
    </row>
    <row r="25365">
      <c r="A25365" s="8" t="inlineStr">
        <is>
          <t>2026-08-05</t>
        </is>
      </c>
      <c r="B25365" s="8" t="n">
        <v>15</v>
      </c>
      <c r="C25365" s="8" t="n">
        <v>31</v>
      </c>
      <c r="D25365" s="8" t="inlineStr">
        <is>
          <t>Disneyland Park</t>
        </is>
      </c>
      <c r="E25365" s="8" t="inlineStr">
        <is>
          <t>Pirate Galleon</t>
        </is>
      </c>
      <c r="F25365" s="8" t="inlineStr">
        <is>
          <t>STANDBY</t>
        </is>
      </c>
      <c r="G25365" s="8" t="n">
        <v>0</v>
      </c>
      <c r="H25365" s="8" t="inlineStr">
        <is>
          <t>CLOSED</t>
        </is>
      </c>
    </row>
    <row r="25366">
      <c r="A25366" s="8" t="inlineStr">
        <is>
          <t>2026-08-05</t>
        </is>
      </c>
      <c r="B25366" s="8" t="n">
        <v>15</v>
      </c>
      <c r="C25366" s="8" t="n">
        <v>31</v>
      </c>
      <c r="D25366" s="8" t="inlineStr">
        <is>
          <t>Disneyland Park</t>
        </is>
      </c>
      <c r="E25366" s="8" t="inlineStr">
        <is>
          <t>Pirates of the Caribbean</t>
        </is>
      </c>
      <c r="F25366" s="8" t="inlineStr">
        <is>
          <t>STANDBY</t>
        </is>
      </c>
      <c r="G25366" s="8" t="n">
        <v>35</v>
      </c>
      <c r="H25366" s="8" t="inlineStr">
        <is>
          <t>OPERATING</t>
        </is>
      </c>
    </row>
    <row r="25367">
      <c r="A25367" s="8" t="inlineStr">
        <is>
          <t>2026-08-05</t>
        </is>
      </c>
      <c r="B25367" s="8" t="n">
        <v>15</v>
      </c>
      <c r="C25367" s="8" t="n">
        <v>31</v>
      </c>
      <c r="D25367" s="8" t="inlineStr">
        <is>
          <t>Disneyland Park</t>
        </is>
      </c>
      <c r="E25367" s="8" t="inlineStr">
        <is>
          <t>Pirates' Beach</t>
        </is>
      </c>
      <c r="F25367" s="8" t="inlineStr">
        <is>
          <t>STANDBY</t>
        </is>
      </c>
      <c r="G25367" s="8" t="n">
        <v>0</v>
      </c>
      <c r="H25367" s="8" t="inlineStr">
        <is>
          <t>OPERATING</t>
        </is>
      </c>
    </row>
    <row r="25368">
      <c r="A25368" s="8" t="inlineStr">
        <is>
          <t>2026-08-05</t>
        </is>
      </c>
      <c r="B25368" s="8" t="n">
        <v>15</v>
      </c>
      <c r="C25368" s="8" t="n">
        <v>31</v>
      </c>
      <c r="D25368" s="8" t="inlineStr">
        <is>
          <t>Disneyland Park</t>
        </is>
      </c>
      <c r="E25368" s="8" t="inlineStr">
        <is>
          <t>Autopia, presented by Avis</t>
        </is>
      </c>
      <c r="F25368" s="8" t="inlineStr">
        <is>
          <t>STANDBY</t>
        </is>
      </c>
      <c r="G25368" s="8" t="n">
        <v>30</v>
      </c>
      <c r="H25368" s="8" t="inlineStr">
        <is>
          <t>OPERATING</t>
        </is>
      </c>
    </row>
    <row r="25369">
      <c r="A25369" s="8" t="inlineStr">
        <is>
          <t>2026-08-05</t>
        </is>
      </c>
      <c r="B25369" s="8" t="n">
        <v>15</v>
      </c>
      <c r="C25369" s="8" t="n">
        <v>31</v>
      </c>
      <c r="D25369" s="8" t="inlineStr">
        <is>
          <t>Disneyland Park</t>
        </is>
      </c>
      <c r="E25369" s="8" t="inlineStr">
        <is>
          <t>Buzz Lightyear Laser Blast</t>
        </is>
      </c>
      <c r="F25369" s="8" t="inlineStr">
        <is>
          <t>STANDBY</t>
        </is>
      </c>
      <c r="G25369" s="8" t="n">
        <v>60</v>
      </c>
      <c r="H25369" s="8" t="inlineStr">
        <is>
          <t>OPERATING</t>
        </is>
      </c>
    </row>
    <row r="25370">
      <c r="A25370" s="8" t="inlineStr">
        <is>
          <t>2026-08-05</t>
        </is>
      </c>
      <c r="B25370" s="8" t="n">
        <v>15</v>
      </c>
      <c r="C25370" s="8" t="n">
        <v>31</v>
      </c>
      <c r="D25370" s="8" t="inlineStr">
        <is>
          <t>Disneyland Park</t>
        </is>
      </c>
      <c r="E25370" s="8" t="inlineStr">
        <is>
          <t>Disneyland Railroad Discoveryland Station</t>
        </is>
      </c>
      <c r="F25370" s="8" t="inlineStr">
        <is>
          <t>STANDBY</t>
        </is>
      </c>
      <c r="G25370" s="8" t="n">
        <v>0</v>
      </c>
      <c r="H25370" s="8" t="inlineStr">
        <is>
          <t>CLOSED</t>
        </is>
      </c>
    </row>
    <row r="25371">
      <c r="A25371" s="8" t="inlineStr">
        <is>
          <t>2026-08-05</t>
        </is>
      </c>
      <c r="B25371" s="8" t="n">
        <v>15</v>
      </c>
      <c r="C25371" s="8" t="n">
        <v>31</v>
      </c>
      <c r="D25371" s="8" t="inlineStr">
        <is>
          <t>Disneyland Park</t>
        </is>
      </c>
      <c r="E25371" s="8" t="inlineStr">
        <is>
          <t>Les Mystères du Nautilus</t>
        </is>
      </c>
      <c r="F25371" s="8" t="inlineStr">
        <is>
          <t>STANDBY</t>
        </is>
      </c>
      <c r="G25371" s="8" t="n">
        <v>5</v>
      </c>
      <c r="H25371" s="8" t="inlineStr">
        <is>
          <t>OPERATING</t>
        </is>
      </c>
    </row>
    <row r="25372">
      <c r="A25372" s="8" t="inlineStr">
        <is>
          <t>2026-08-05</t>
        </is>
      </c>
      <c r="B25372" s="8" t="n">
        <v>15</v>
      </c>
      <c r="C25372" s="8" t="n">
        <v>31</v>
      </c>
      <c r="D25372" s="8" t="inlineStr">
        <is>
          <t>Disneyland Park</t>
        </is>
      </c>
      <c r="E25372" s="8" t="inlineStr">
        <is>
          <t>Mickey’s PhilharMagic</t>
        </is>
      </c>
      <c r="F25372" s="8" t="inlineStr">
        <is>
          <t>STANDBY</t>
        </is>
      </c>
      <c r="G25372" s="8" t="n">
        <v>0</v>
      </c>
      <c r="H25372" s="8" t="inlineStr">
        <is>
          <t>OPERATING</t>
        </is>
      </c>
    </row>
    <row r="25373">
      <c r="A25373" s="8" t="inlineStr">
        <is>
          <t>2026-08-05</t>
        </is>
      </c>
      <c r="B25373" s="8" t="n">
        <v>15</v>
      </c>
      <c r="C25373" s="8" t="n">
        <v>31</v>
      </c>
      <c r="D25373" s="8" t="inlineStr">
        <is>
          <t>Disneyland Park</t>
        </is>
      </c>
      <c r="E25373" s="8" t="inlineStr">
        <is>
          <t>Orbitron®</t>
        </is>
      </c>
      <c r="F25373" s="8" t="inlineStr">
        <is>
          <t>STANDBY</t>
        </is>
      </c>
      <c r="G25373" s="8" t="n">
        <v>50</v>
      </c>
      <c r="H25373" s="8" t="inlineStr">
        <is>
          <t>OPERATING</t>
        </is>
      </c>
    </row>
    <row r="25374">
      <c r="A25374" s="8" t="inlineStr">
        <is>
          <t>2026-08-05</t>
        </is>
      </c>
      <c r="B25374" s="8" t="n">
        <v>15</v>
      </c>
      <c r="C25374" s="8" t="n">
        <v>31</v>
      </c>
      <c r="D25374" s="8" t="inlineStr">
        <is>
          <t>Disneyland Park</t>
        </is>
      </c>
      <c r="E25374" s="8" t="inlineStr">
        <is>
          <t>Star Tours: The Adventures Continue*</t>
        </is>
      </c>
      <c r="F25374" s="8" t="inlineStr">
        <is>
          <t>STANDBY</t>
        </is>
      </c>
      <c r="G25374" s="8" t="n">
        <v>15</v>
      </c>
      <c r="H25374" s="8" t="inlineStr">
        <is>
          <t>OPERATING</t>
        </is>
      </c>
    </row>
    <row r="25375">
      <c r="A25375" s="8" t="inlineStr">
        <is>
          <t>2026-08-05</t>
        </is>
      </c>
      <c r="B25375" s="8" t="n">
        <v>15</v>
      </c>
      <c r="C25375" s="8" t="n">
        <v>31</v>
      </c>
      <c r="D25375" s="8" t="inlineStr">
        <is>
          <t>Disneyland Park</t>
        </is>
      </c>
      <c r="E25375" s="8" t="inlineStr">
        <is>
          <t>Star Wars Hyperspace Mountain</t>
        </is>
      </c>
      <c r="F25375" s="8" t="inlineStr">
        <is>
          <t>STANDBY</t>
        </is>
      </c>
      <c r="G25375" s="8" t="n">
        <v>45</v>
      </c>
      <c r="H25375" s="8" t="inlineStr">
        <is>
          <t>OPERATING</t>
        </is>
      </c>
    </row>
    <row r="25376">
      <c r="A25376" s="8" t="inlineStr">
        <is>
          <t>2026-08-05</t>
        </is>
      </c>
      <c r="B25376" s="8" t="n">
        <v>15</v>
      </c>
      <c r="C25376" s="8" t="n">
        <v>31</v>
      </c>
      <c r="D25376" s="8" t="inlineStr">
        <is>
          <t>Disneyland Park</t>
        </is>
      </c>
      <c r="E25376" s="8" t="inlineStr">
        <is>
          <t>Star Wars Hyperspace Mountain Single Rider</t>
        </is>
      </c>
      <c r="F25376" s="8" t="inlineStr">
        <is>
          <t>STANDBY</t>
        </is>
      </c>
      <c r="G25376" s="8" t="n">
        <v>40</v>
      </c>
      <c r="H25376" s="8" t="inlineStr">
        <is>
          <t>OPERATING</t>
        </is>
      </c>
    </row>
    <row r="25377">
      <c r="A25377" s="8" t="inlineStr">
        <is>
          <t>2026-08-05</t>
        </is>
      </c>
      <c r="B25377" s="8" t="n">
        <v>15</v>
      </c>
      <c r="C25377" s="8" t="n">
        <v>31</v>
      </c>
      <c r="D25377" s="8" t="inlineStr">
        <is>
          <t>Disneyland Park</t>
        </is>
      </c>
      <c r="E25377" s="8" t="inlineStr">
        <is>
          <t>Welcome to Starport: A Star Wars Encounter</t>
        </is>
      </c>
      <c r="F25377" s="8" t="inlineStr">
        <is>
          <t>STANDBY</t>
        </is>
      </c>
      <c r="G25377" s="8" t="n">
        <v>45</v>
      </c>
      <c r="H25377" s="8" t="inlineStr">
        <is>
          <t>OPERATING</t>
        </is>
      </c>
    </row>
    <row r="25378">
      <c r="A25378" s="8" t="inlineStr">
        <is>
          <t>2026-08-05</t>
        </is>
      </c>
      <c r="B25378" s="8" t="n">
        <v>15</v>
      </c>
      <c r="C25378" s="8" t="n">
        <v>31</v>
      </c>
      <c r="D25378" s="8" t="inlineStr">
        <is>
          <t>Disneyland Park</t>
        </is>
      </c>
      <c r="E25378" s="8" t="inlineStr">
        <is>
          <t>"it's a small world"</t>
        </is>
      </c>
      <c r="F25378" s="8" t="inlineStr">
        <is>
          <t>STANDBY</t>
        </is>
      </c>
      <c r="G25378" s="8" t="n">
        <v>15</v>
      </c>
      <c r="H25378" s="8" t="inlineStr">
        <is>
          <t>OPERATING</t>
        </is>
      </c>
    </row>
    <row r="25379">
      <c r="A25379" s="8" t="inlineStr">
        <is>
          <t>2026-08-05</t>
        </is>
      </c>
      <c r="B25379" s="8" t="n">
        <v>15</v>
      </c>
      <c r="C25379" s="8" t="n">
        <v>31</v>
      </c>
      <c r="D25379" s="8" t="inlineStr">
        <is>
          <t>Disneyland Park</t>
        </is>
      </c>
      <c r="E25379" s="8" t="inlineStr">
        <is>
          <t>Alice's Curious Labyrinth</t>
        </is>
      </c>
      <c r="F25379" s="8" t="inlineStr">
        <is>
          <t>STANDBY</t>
        </is>
      </c>
      <c r="G25379" s="8" t="n">
        <v>5</v>
      </c>
      <c r="H25379" s="8" t="inlineStr">
        <is>
          <t>OPERATING</t>
        </is>
      </c>
    </row>
    <row r="25380">
      <c r="A25380" s="8" t="inlineStr">
        <is>
          <t>2026-08-05</t>
        </is>
      </c>
      <c r="B25380" s="8" t="n">
        <v>15</v>
      </c>
      <c r="C25380" s="8" t="n">
        <v>31</v>
      </c>
      <c r="D25380" s="8" t="inlineStr">
        <is>
          <t>Disneyland Park</t>
        </is>
      </c>
      <c r="E25380" s="8" t="inlineStr">
        <is>
          <t>Blanche-Neige et les Sept Nains®</t>
        </is>
      </c>
      <c r="F25380" s="8" t="inlineStr">
        <is>
          <t>STANDBY</t>
        </is>
      </c>
      <c r="G25380" s="8" t="n">
        <v>15</v>
      </c>
      <c r="H25380" s="8" t="inlineStr">
        <is>
          <t>OPERATING</t>
        </is>
      </c>
    </row>
    <row r="25381">
      <c r="A25381" s="8" t="inlineStr">
        <is>
          <t>2026-08-05</t>
        </is>
      </c>
      <c r="B25381" s="8" t="n">
        <v>15</v>
      </c>
      <c r="C25381" s="8" t="n">
        <v>31</v>
      </c>
      <c r="D25381" s="8" t="inlineStr">
        <is>
          <t>Disneyland Park</t>
        </is>
      </c>
      <c r="E25381" s="8" t="inlineStr">
        <is>
          <t>Casey Jr. – le Petit Train du Cirque</t>
        </is>
      </c>
      <c r="F25381" s="8" t="inlineStr">
        <is>
          <t>STANDBY</t>
        </is>
      </c>
      <c r="G25381" s="8" t="n">
        <v>0</v>
      </c>
      <c r="H25381" s="8" t="inlineStr">
        <is>
          <t>CLOSED</t>
        </is>
      </c>
    </row>
    <row r="25382">
      <c r="A25382" s="8" t="inlineStr">
        <is>
          <t>2026-08-05</t>
        </is>
      </c>
      <c r="B25382" s="8" t="n">
        <v>15</v>
      </c>
      <c r="C25382" s="8" t="n">
        <v>31</v>
      </c>
      <c r="D25382" s="8" t="inlineStr">
        <is>
          <t>Disneyland Park</t>
        </is>
      </c>
      <c r="E25382" s="8" t="inlineStr">
        <is>
          <t>Disneyland Railroad Fantasyland Station</t>
        </is>
      </c>
      <c r="F25382" s="8" t="inlineStr">
        <is>
          <t>STANDBY</t>
        </is>
      </c>
      <c r="G25382" s="8" t="n">
        <v>0</v>
      </c>
      <c r="H25382" s="8" t="inlineStr">
        <is>
          <t>CLOSED</t>
        </is>
      </c>
    </row>
    <row r="25383">
      <c r="A25383" s="8" t="inlineStr">
        <is>
          <t>2026-08-05</t>
        </is>
      </c>
      <c r="B25383" s="8" t="n">
        <v>15</v>
      </c>
      <c r="C25383" s="8" t="n">
        <v>31</v>
      </c>
      <c r="D25383" s="8" t="inlineStr">
        <is>
          <t>Disneyland Park</t>
        </is>
      </c>
      <c r="E25383" s="8" t="inlineStr">
        <is>
          <t>Disneyland Railroad Main Street Station</t>
        </is>
      </c>
      <c r="F25383" s="8" t="inlineStr">
        <is>
          <t>STANDBY</t>
        </is>
      </c>
      <c r="G25383" s="8" t="n">
        <v>20</v>
      </c>
      <c r="H25383" s="8" t="inlineStr">
        <is>
          <t>OPERATING</t>
        </is>
      </c>
    </row>
    <row r="25384">
      <c r="A25384" s="8" t="inlineStr">
        <is>
          <t>2026-08-05</t>
        </is>
      </c>
      <c r="B25384" s="8" t="n">
        <v>15</v>
      </c>
      <c r="C25384" s="8" t="n">
        <v>31</v>
      </c>
      <c r="D25384" s="8" t="inlineStr">
        <is>
          <t>Disneyland Park</t>
        </is>
      </c>
      <c r="E25384" s="8" t="inlineStr">
        <is>
          <t>Dumbo the Flying Elephant</t>
        </is>
      </c>
      <c r="F25384" s="8" t="inlineStr">
        <is>
          <t>STANDBY</t>
        </is>
      </c>
      <c r="G25384" s="8" t="n">
        <v>35</v>
      </c>
      <c r="H25384" s="8" t="inlineStr">
        <is>
          <t>OPERATING</t>
        </is>
      </c>
    </row>
    <row r="25385">
      <c r="A25385" s="8" t="inlineStr">
        <is>
          <t>2026-08-05</t>
        </is>
      </c>
      <c r="B25385" s="8" t="n">
        <v>15</v>
      </c>
      <c r="C25385" s="8" t="n">
        <v>31</v>
      </c>
      <c r="D25385" s="8" t="inlineStr">
        <is>
          <t>Disneyland Park</t>
        </is>
      </c>
      <c r="E25385" s="8" t="inlineStr">
        <is>
          <t>La Tanière du Dragon</t>
        </is>
      </c>
      <c r="F25385" s="8" t="inlineStr">
        <is>
          <t>STANDBY</t>
        </is>
      </c>
      <c r="G25385" s="8" t="n">
        <v>0</v>
      </c>
      <c r="H25385" s="8" t="inlineStr">
        <is>
          <t>OPERATING</t>
        </is>
      </c>
    </row>
    <row r="25386">
      <c r="A25386" s="8" t="inlineStr">
        <is>
          <t>2026-08-05</t>
        </is>
      </c>
      <c r="B25386" s="8" t="n">
        <v>15</v>
      </c>
      <c r="C25386" s="8" t="n">
        <v>31</v>
      </c>
      <c r="D25386" s="8" t="inlineStr">
        <is>
          <t>Disneyland Park</t>
        </is>
      </c>
      <c r="E25386" s="8" t="inlineStr">
        <is>
          <t>Le Carrousel de Lancelot</t>
        </is>
      </c>
      <c r="F25386" s="8" t="inlineStr">
        <is>
          <t>STANDBY</t>
        </is>
      </c>
      <c r="G25386" s="8" t="n">
        <v>15</v>
      </c>
      <c r="H25386" s="8" t="inlineStr">
        <is>
          <t>OPERATING</t>
        </is>
      </c>
    </row>
    <row r="25387">
      <c r="A25387" s="8" t="inlineStr">
        <is>
          <t>2026-08-05</t>
        </is>
      </c>
      <c r="B25387" s="8" t="n">
        <v>15</v>
      </c>
      <c r="C25387" s="8" t="n">
        <v>31</v>
      </c>
      <c r="D25387" s="8" t="inlineStr">
        <is>
          <t>Disneyland Park</t>
        </is>
      </c>
      <c r="E25387" s="8" t="inlineStr">
        <is>
          <t>Le Pays des Contes de Fées, presented by Vittel</t>
        </is>
      </c>
      <c r="F25387" s="8" t="inlineStr">
        <is>
          <t>STANDBY</t>
        </is>
      </c>
      <c r="G25387" s="8" t="n">
        <v>5</v>
      </c>
      <c r="H25387" s="8" t="inlineStr">
        <is>
          <t>OPERATING</t>
        </is>
      </c>
    </row>
    <row r="25388">
      <c r="A25388" s="8" t="inlineStr">
        <is>
          <t>2026-08-05</t>
        </is>
      </c>
      <c r="B25388" s="8" t="n">
        <v>15</v>
      </c>
      <c r="C25388" s="8" t="n">
        <v>31</v>
      </c>
      <c r="D25388" s="8" t="inlineStr">
        <is>
          <t>Disneyland Park</t>
        </is>
      </c>
      <c r="E25388" s="8" t="inlineStr">
        <is>
          <t>Les Voyages de Pinocchio</t>
        </is>
      </c>
      <c r="F25388" s="8" t="inlineStr">
        <is>
          <t>STANDBY</t>
        </is>
      </c>
      <c r="G25388" s="8" t="n">
        <v>20</v>
      </c>
      <c r="H25388" s="8" t="inlineStr">
        <is>
          <t>OPERATING</t>
        </is>
      </c>
    </row>
    <row r="25389">
      <c r="A25389" s="8" t="inlineStr">
        <is>
          <t>2026-08-05</t>
        </is>
      </c>
      <c r="B25389" s="8" t="n">
        <v>15</v>
      </c>
      <c r="C25389" s="8" t="n">
        <v>31</v>
      </c>
      <c r="D25389" s="8" t="inlineStr">
        <is>
          <t>Disneyland Park</t>
        </is>
      </c>
      <c r="E25389" s="8" t="inlineStr">
        <is>
          <t>Mad Hatter's Tea Cups</t>
        </is>
      </c>
      <c r="F25389" s="8" t="inlineStr">
        <is>
          <t>STANDBY</t>
        </is>
      </c>
      <c r="G25389" s="8" t="n">
        <v>10</v>
      </c>
      <c r="H25389" s="8" t="inlineStr">
        <is>
          <t>OPERATING</t>
        </is>
      </c>
    </row>
    <row r="25390">
      <c r="A25390" s="8" t="inlineStr">
        <is>
          <t>2026-08-05</t>
        </is>
      </c>
      <c r="B25390" s="8" t="n">
        <v>15</v>
      </c>
      <c r="C25390" s="8" t="n">
        <v>31</v>
      </c>
      <c r="D25390" s="8" t="inlineStr">
        <is>
          <t>Disneyland Park</t>
        </is>
      </c>
      <c r="E25390" s="8" t="inlineStr">
        <is>
          <t>Meet Mickey Mouse</t>
        </is>
      </c>
      <c r="F25390" s="8" t="inlineStr">
        <is>
          <t>STANDBY</t>
        </is>
      </c>
      <c r="G25390" s="8" t="n">
        <v>0</v>
      </c>
      <c r="H25390" s="8" t="inlineStr">
        <is>
          <t>OPERATING</t>
        </is>
      </c>
    </row>
    <row r="25391">
      <c r="A25391" s="8" t="inlineStr">
        <is>
          <t>2026-08-05</t>
        </is>
      </c>
      <c r="B25391" s="8" t="n">
        <v>15</v>
      </c>
      <c r="C25391" s="8" t="n">
        <v>31</v>
      </c>
      <c r="D25391" s="8" t="inlineStr">
        <is>
          <t>Disneyland Park</t>
        </is>
      </c>
      <c r="E25391" s="8" t="inlineStr">
        <is>
          <t>Peter Pan's Flight</t>
        </is>
      </c>
      <c r="F25391" s="8" t="inlineStr">
        <is>
          <t>STANDBY</t>
        </is>
      </c>
      <c r="G25391" s="8" t="n">
        <v>60</v>
      </c>
      <c r="H25391" s="8" t="inlineStr">
        <is>
          <t>OPERATING</t>
        </is>
      </c>
    </row>
    <row r="25392">
      <c r="A25392" s="8" t="inlineStr">
        <is>
          <t>2026-08-05</t>
        </is>
      </c>
      <c r="B25392" s="8" t="n">
        <v>15</v>
      </c>
      <c r="C25392" s="8" t="n">
        <v>31</v>
      </c>
      <c r="D25392" s="8" t="inlineStr">
        <is>
          <t>Disneyland Park</t>
        </is>
      </c>
      <c r="E25392" s="8" t="inlineStr">
        <is>
          <t>Princess Pavilion</t>
        </is>
      </c>
      <c r="F25392" s="8" t="inlineStr">
        <is>
          <t>STANDBY</t>
        </is>
      </c>
      <c r="G25392" s="8" t="n">
        <v>0</v>
      </c>
      <c r="H25392" s="8" t="inlineStr">
        <is>
          <t>OPERATING</t>
        </is>
      </c>
    </row>
    <row r="25393">
      <c r="A25393" s="8" t="inlineStr">
        <is>
          <t>2026-08-05</t>
        </is>
      </c>
      <c r="B25393" s="8" t="n">
        <v>15</v>
      </c>
      <c r="C25393" s="8" t="n">
        <v>31</v>
      </c>
      <c r="D25393" s="8" t="inlineStr">
        <is>
          <t>Disneyland Park</t>
        </is>
      </c>
      <c r="E25393" s="8" t="inlineStr">
        <is>
          <t>Big Thunder Mountain</t>
        </is>
      </c>
      <c r="F25393" s="8" t="inlineStr">
        <is>
          <t>STANDBY</t>
        </is>
      </c>
      <c r="G25393" s="8" t="n">
        <v>80</v>
      </c>
      <c r="H25393" s="8" t="inlineStr">
        <is>
          <t>OPERATING</t>
        </is>
      </c>
    </row>
    <row r="25394">
      <c r="A25394" s="8" t="inlineStr">
        <is>
          <t>2026-08-05</t>
        </is>
      </c>
      <c r="B25394" s="8" t="n">
        <v>15</v>
      </c>
      <c r="C25394" s="8" t="n">
        <v>31</v>
      </c>
      <c r="D25394" s="8" t="inlineStr">
        <is>
          <t>Disneyland Park</t>
        </is>
      </c>
      <c r="E25394" s="8" t="inlineStr">
        <is>
          <t>Disneyland Railroad Frontierland Depot</t>
        </is>
      </c>
      <c r="F25394" s="8" t="inlineStr">
        <is>
          <t>STANDBY</t>
        </is>
      </c>
      <c r="G25394" s="8" t="n">
        <v>10</v>
      </c>
      <c r="H25394" s="8" t="inlineStr">
        <is>
          <t>OPERATING</t>
        </is>
      </c>
    </row>
    <row r="25395">
      <c r="A25395" s="8" t="inlineStr">
        <is>
          <t>2026-08-05</t>
        </is>
      </c>
      <c r="B25395" s="8" t="n">
        <v>15</v>
      </c>
      <c r="C25395" s="8" t="n">
        <v>31</v>
      </c>
      <c r="D25395" s="8" t="inlineStr">
        <is>
          <t>Disneyland Park</t>
        </is>
      </c>
      <c r="E25395" s="8" t="inlineStr">
        <is>
          <t>Frontierland Playground</t>
        </is>
      </c>
      <c r="F25395" s="8" t="inlineStr">
        <is>
          <t>STANDBY</t>
        </is>
      </c>
      <c r="G25395" s="8" t="n">
        <v>0</v>
      </c>
      <c r="H25395" s="8" t="inlineStr">
        <is>
          <t>OPERATING</t>
        </is>
      </c>
    </row>
    <row r="25396">
      <c r="A25396" s="8" t="inlineStr">
        <is>
          <t>2026-08-05</t>
        </is>
      </c>
      <c r="B25396" s="8" t="n">
        <v>15</v>
      </c>
      <c r="C25396" s="8" t="n">
        <v>31</v>
      </c>
      <c r="D25396" s="8" t="inlineStr">
        <is>
          <t>Disneyland Park</t>
        </is>
      </c>
      <c r="E25396" s="8" t="inlineStr">
        <is>
          <t>Phantom Manor</t>
        </is>
      </c>
      <c r="F25396" s="8" t="inlineStr">
        <is>
          <t>STANDBY</t>
        </is>
      </c>
      <c r="G25396" s="8" t="n">
        <v>0</v>
      </c>
      <c r="H25396" s="8" t="inlineStr">
        <is>
          <t>CLOSED</t>
        </is>
      </c>
    </row>
    <row r="25397">
      <c r="A25397" s="8" t="inlineStr">
        <is>
          <t>2026-08-05</t>
        </is>
      </c>
      <c r="B25397" s="8" t="n">
        <v>15</v>
      </c>
      <c r="C25397" s="8" t="n">
        <v>31</v>
      </c>
      <c r="D25397" s="8" t="inlineStr">
        <is>
          <t>Disneyland Park</t>
        </is>
      </c>
      <c r="E25397" s="8" t="inlineStr">
        <is>
          <t>River Rogue Keelboats</t>
        </is>
      </c>
      <c r="F25397" s="8" t="inlineStr">
        <is>
          <t>STANDBY</t>
        </is>
      </c>
      <c r="G25397" s="8" t="n">
        <v>0</v>
      </c>
      <c r="H25397" s="8" t="inlineStr">
        <is>
          <t>CLOSED</t>
        </is>
      </c>
    </row>
    <row r="25398">
      <c r="A25398" s="8" t="inlineStr">
        <is>
          <t>2026-08-05</t>
        </is>
      </c>
      <c r="B25398" s="8" t="n">
        <v>15</v>
      </c>
      <c r="C25398" s="8" t="n">
        <v>31</v>
      </c>
      <c r="D25398" s="8" t="inlineStr">
        <is>
          <t>Disneyland Park</t>
        </is>
      </c>
      <c r="E25398" s="8" t="inlineStr">
        <is>
          <t>Rustler Roundup Shootin' Gallery</t>
        </is>
      </c>
      <c r="F25398" s="8" t="inlineStr">
        <is>
          <t>STANDBY</t>
        </is>
      </c>
      <c r="G25398" s="8" t="n">
        <v>0</v>
      </c>
      <c r="H25398" s="8" t="inlineStr">
        <is>
          <t>OPERATING</t>
        </is>
      </c>
    </row>
    <row r="25399">
      <c r="A25399" s="8" t="inlineStr">
        <is>
          <t>2026-08-05</t>
        </is>
      </c>
      <c r="B25399" s="8" t="n">
        <v>15</v>
      </c>
      <c r="C25399" s="8" t="n">
        <v>31</v>
      </c>
      <c r="D25399" s="8" t="inlineStr">
        <is>
          <t>Disneyland Park</t>
        </is>
      </c>
      <c r="E25399" s="8" t="inlineStr">
        <is>
          <t>Thunder Mesa Riverboat Landing</t>
        </is>
      </c>
      <c r="F25399" s="8" t="inlineStr">
        <is>
          <t>STANDBY</t>
        </is>
      </c>
      <c r="G25399" s="8" t="n">
        <v>20</v>
      </c>
      <c r="H25399" s="8" t="inlineStr">
        <is>
          <t>OPERATING</t>
        </is>
      </c>
    </row>
    <row r="25400">
      <c r="A25400" s="8" t="inlineStr">
        <is>
          <t>2026-08-05</t>
        </is>
      </c>
      <c r="B25400" s="8" t="n">
        <v>15</v>
      </c>
      <c r="C25400" s="8" t="n">
        <v>31</v>
      </c>
      <c r="D25400" s="8" t="inlineStr">
        <is>
          <t>Disneyland Park</t>
        </is>
      </c>
      <c r="E25400" s="8" t="inlineStr">
        <is>
          <t>Disneyland Railroad Main Street Station</t>
        </is>
      </c>
      <c r="F25400" s="8" t="inlineStr">
        <is>
          <t>STANDBY</t>
        </is>
      </c>
      <c r="G25400" s="8" t="n">
        <v>0</v>
      </c>
      <c r="H25400" s="8" t="inlineStr">
        <is>
          <t>OPERATING</t>
        </is>
      </c>
    </row>
    <row r="25401">
      <c r="A25401" s="8" t="inlineStr">
        <is>
          <t>2026-08-05</t>
        </is>
      </c>
      <c r="B25401" s="8" t="n">
        <v>15</v>
      </c>
      <c r="C25401" s="8" t="n">
        <v>31</v>
      </c>
      <c r="D25401" s="8" t="inlineStr">
        <is>
          <t>Disneyland Park</t>
        </is>
      </c>
      <c r="E25401" s="8" t="inlineStr">
        <is>
          <t>Main Street Vehicles</t>
        </is>
      </c>
      <c r="F25401" s="8" t="inlineStr">
        <is>
          <t>STANDBY</t>
        </is>
      </c>
      <c r="G25401" s="8" t="n">
        <v>0</v>
      </c>
      <c r="H25401" s="8" t="inlineStr">
        <is>
          <t>CLOSED</t>
        </is>
      </c>
    </row>
    <row r="25402">
      <c r="A25402" s="8" t="inlineStr">
        <is>
          <t>2026-08-05</t>
        </is>
      </c>
      <c r="B25402" s="8" t="n">
        <v>15</v>
      </c>
      <c r="C25402" s="8" t="n">
        <v>31</v>
      </c>
      <c r="D25402" s="8" t="inlineStr">
        <is>
          <t>Disney Adventure World</t>
        </is>
      </c>
      <c r="E25402" s="8" t="inlineStr">
        <is>
          <t>Avengers Assemble: Flight Force</t>
        </is>
      </c>
      <c r="F25402" s="8" t="inlineStr">
        <is>
          <t>STANDBY</t>
        </is>
      </c>
      <c r="G25402" s="8" t="n">
        <v>15</v>
      </c>
      <c r="H25402" s="8" t="inlineStr">
        <is>
          <t>OPERATING</t>
        </is>
      </c>
    </row>
    <row r="25403">
      <c r="A25403" s="8" t="inlineStr">
        <is>
          <t>2026-08-05</t>
        </is>
      </c>
      <c r="B25403" s="8" t="n">
        <v>15</v>
      </c>
      <c r="C25403" s="8" t="n">
        <v>31</v>
      </c>
      <c r="D25403" s="8" t="inlineStr">
        <is>
          <t>Disney Adventure World</t>
        </is>
      </c>
      <c r="E25403" s="8" t="inlineStr">
        <is>
          <t>Avengers Assemble: Flight Force Single Rider</t>
        </is>
      </c>
      <c r="F25403" s="8" t="inlineStr">
        <is>
          <t>STANDBY</t>
        </is>
      </c>
      <c r="G25403" s="8" t="n">
        <v>10</v>
      </c>
      <c r="H25403" s="8" t="inlineStr">
        <is>
          <t>OPERATING</t>
        </is>
      </c>
    </row>
    <row r="25404">
      <c r="A25404" s="8" t="inlineStr">
        <is>
          <t>2026-08-05</t>
        </is>
      </c>
      <c r="B25404" s="8" t="n">
        <v>15</v>
      </c>
      <c r="C25404" s="8" t="n">
        <v>31</v>
      </c>
      <c r="D25404" s="8" t="inlineStr">
        <is>
          <t>Disney Adventure World</t>
        </is>
      </c>
      <c r="E25404" s="8" t="inlineStr">
        <is>
          <t>Spider-Man W.E.B. Adventure</t>
        </is>
      </c>
      <c r="F25404" s="8" t="inlineStr">
        <is>
          <t>STANDBY</t>
        </is>
      </c>
      <c r="G25404" s="8" t="n">
        <v>50</v>
      </c>
      <c r="H25404" s="8" t="inlineStr">
        <is>
          <t>OPERATING</t>
        </is>
      </c>
    </row>
    <row r="25405">
      <c r="A25405" s="8" t="inlineStr">
        <is>
          <t>2026-08-05</t>
        </is>
      </c>
      <c r="B25405" s="8" t="n">
        <v>15</v>
      </c>
      <c r="C25405" s="8" t="n">
        <v>31</v>
      </c>
      <c r="D25405" s="8" t="inlineStr">
        <is>
          <t>Disney Adventure World</t>
        </is>
      </c>
      <c r="E25405" s="8" t="inlineStr">
        <is>
          <t>Spider-Man W.E.B. Adventure Single Rider</t>
        </is>
      </c>
      <c r="F25405" s="8" t="inlineStr">
        <is>
          <t>STANDBY</t>
        </is>
      </c>
      <c r="G25405" s="8" t="n">
        <v>20</v>
      </c>
      <c r="H25405" s="8" t="inlineStr">
        <is>
          <t>OPERATING</t>
        </is>
      </c>
    </row>
    <row r="25406">
      <c r="A25406" s="8" t="inlineStr">
        <is>
          <t>2026-08-05</t>
        </is>
      </c>
      <c r="B25406" s="8" t="n">
        <v>15</v>
      </c>
      <c r="C25406" s="8" t="n">
        <v>31</v>
      </c>
      <c r="D25406" s="8" t="inlineStr">
        <is>
          <t>Disney Adventure World</t>
        </is>
      </c>
      <c r="E25406" s="8" t="inlineStr">
        <is>
          <t>The Twilight Zone Tower of Terror</t>
        </is>
      </c>
      <c r="F25406" s="8" t="inlineStr">
        <is>
          <t>STANDBY</t>
        </is>
      </c>
      <c r="G25406" s="8" t="n">
        <v>30</v>
      </c>
      <c r="H25406" s="8" t="inlineStr">
        <is>
          <t>OPERATING</t>
        </is>
      </c>
    </row>
    <row r="25407">
      <c r="A25407" s="8" t="inlineStr">
        <is>
          <t>2026-08-05</t>
        </is>
      </c>
      <c r="B25407" s="8" t="n">
        <v>15</v>
      </c>
      <c r="C25407" s="8" t="n">
        <v>31</v>
      </c>
      <c r="D25407" s="8" t="inlineStr">
        <is>
          <t>Disney Adventure World</t>
        </is>
      </c>
      <c r="E25407" s="8" t="inlineStr">
        <is>
          <t>Cars Quatre Roues Rallye</t>
        </is>
      </c>
      <c r="F25407" s="8" t="inlineStr">
        <is>
          <t>STANDBY</t>
        </is>
      </c>
      <c r="G25407" s="8" t="n">
        <v>20</v>
      </c>
      <c r="H25407" s="8" t="inlineStr">
        <is>
          <t>OPERATING</t>
        </is>
      </c>
    </row>
    <row r="25408">
      <c r="A25408" s="8" t="inlineStr">
        <is>
          <t>2026-08-05</t>
        </is>
      </c>
      <c r="B25408" s="8" t="n">
        <v>15</v>
      </c>
      <c r="C25408" s="8" t="n">
        <v>31</v>
      </c>
      <c r="D25408" s="8" t="inlineStr">
        <is>
          <t>Disney Adventure World</t>
        </is>
      </c>
      <c r="E25408" s="8" t="inlineStr">
        <is>
          <t>Cars ROAD TRIP</t>
        </is>
      </c>
      <c r="F25408" s="8" t="inlineStr">
        <is>
          <t>STANDBY</t>
        </is>
      </c>
      <c r="G25408" s="8" t="n">
        <v>20</v>
      </c>
      <c r="H25408" s="8" t="inlineStr">
        <is>
          <t>OPERATING</t>
        </is>
      </c>
    </row>
    <row r="25409">
      <c r="A25409" s="8" t="inlineStr">
        <is>
          <t>2026-08-05</t>
        </is>
      </c>
      <c r="B25409" s="8" t="n">
        <v>15</v>
      </c>
      <c r="C25409" s="8" t="n">
        <v>31</v>
      </c>
      <c r="D25409" s="8" t="inlineStr">
        <is>
          <t>Disney Adventure World</t>
        </is>
      </c>
      <c r="E25409" s="8" t="inlineStr">
        <is>
          <t>Crush's Coaster</t>
        </is>
      </c>
      <c r="F25409" s="8" t="inlineStr">
        <is>
          <t>STANDBY</t>
        </is>
      </c>
      <c r="G25409" s="8" t="n">
        <v>80</v>
      </c>
      <c r="H25409" s="8" t="inlineStr">
        <is>
          <t>OPERATING</t>
        </is>
      </c>
    </row>
    <row r="25410">
      <c r="A25410" s="8" t="inlineStr">
        <is>
          <t>2026-08-05</t>
        </is>
      </c>
      <c r="B25410" s="8" t="n">
        <v>15</v>
      </c>
      <c r="C25410" s="8" t="n">
        <v>31</v>
      </c>
      <c r="D25410" s="8" t="inlineStr">
        <is>
          <t>Disney Adventure World</t>
        </is>
      </c>
      <c r="E25410" s="8" t="inlineStr">
        <is>
          <t>Crush's Coaster Single Rider</t>
        </is>
      </c>
      <c r="F25410" s="8" t="inlineStr">
        <is>
          <t>STANDBY</t>
        </is>
      </c>
      <c r="G25410" s="8" t="n">
        <v>70</v>
      </c>
      <c r="H25410" s="8" t="inlineStr">
        <is>
          <t>OPERATING</t>
        </is>
      </c>
    </row>
    <row r="25411">
      <c r="A25411" s="8" t="inlineStr">
        <is>
          <t>2026-08-05</t>
        </is>
      </c>
      <c r="B25411" s="8" t="n">
        <v>15</v>
      </c>
      <c r="C25411" s="8" t="n">
        <v>31</v>
      </c>
      <c r="D25411" s="8" t="inlineStr">
        <is>
          <t>Disney Adventure World</t>
        </is>
      </c>
      <c r="E25411" s="8" t="inlineStr">
        <is>
          <t>Les Tapis Volants - Flying Carpets Over Agrabah®</t>
        </is>
      </c>
      <c r="F25411" s="8" t="inlineStr">
        <is>
          <t>STANDBY</t>
        </is>
      </c>
      <c r="G25411" s="8" t="n">
        <v>15</v>
      </c>
      <c r="H25411" s="8" t="inlineStr">
        <is>
          <t>OPERATING</t>
        </is>
      </c>
    </row>
    <row r="25412">
      <c r="A25412" s="8" t="inlineStr">
        <is>
          <t>2026-08-05</t>
        </is>
      </c>
      <c r="B25412" s="8" t="n">
        <v>15</v>
      </c>
      <c r="C25412" s="8" t="n">
        <v>31</v>
      </c>
      <c r="D25412" s="8" t="inlineStr">
        <is>
          <t>Disney Adventure World</t>
        </is>
      </c>
      <c r="E25412" s="8" t="inlineStr">
        <is>
          <t>Ratatouille : L’Aventure Totalement Toquée de Rémy​</t>
        </is>
      </c>
      <c r="F25412" s="8" t="inlineStr">
        <is>
          <t>STANDBY</t>
        </is>
      </c>
      <c r="G25412" s="8" t="n">
        <v>50</v>
      </c>
      <c r="H25412" s="8" t="inlineStr">
        <is>
          <t>OPERATING</t>
        </is>
      </c>
    </row>
    <row r="25413">
      <c r="A25413" s="8" t="inlineStr">
        <is>
          <t>2026-08-05</t>
        </is>
      </c>
      <c r="B25413" s="8" t="n">
        <v>15</v>
      </c>
      <c r="C25413" s="8" t="n">
        <v>31</v>
      </c>
      <c r="D25413" s="8" t="inlineStr">
        <is>
          <t>Disney Adventure World</t>
        </is>
      </c>
      <c r="E25413" s="8" t="inlineStr">
        <is>
          <t>Ratatouille: The Adventure Single Rider</t>
        </is>
      </c>
      <c r="F25413" s="8" t="inlineStr">
        <is>
          <t>STANDBY</t>
        </is>
      </c>
      <c r="G25413" s="8" t="n">
        <v>25</v>
      </c>
      <c r="H25413" s="8" t="inlineStr">
        <is>
          <t>OPERATING</t>
        </is>
      </c>
    </row>
    <row r="25414">
      <c r="A25414" s="8" t="inlineStr">
        <is>
          <t>2026-08-05</t>
        </is>
      </c>
      <c r="B25414" s="8" t="n">
        <v>15</v>
      </c>
      <c r="C25414" s="8" t="n">
        <v>31</v>
      </c>
      <c r="D25414" s="8" t="inlineStr">
        <is>
          <t>Disney Adventure World</t>
        </is>
      </c>
      <c r="E25414" s="8" t="inlineStr">
        <is>
          <t>RC Racer</t>
        </is>
      </c>
      <c r="F25414" s="8" t="inlineStr">
        <is>
          <t>STANDBY</t>
        </is>
      </c>
      <c r="G25414" s="8" t="n">
        <v>50</v>
      </c>
      <c r="H25414" s="8" t="inlineStr">
        <is>
          <t>OPERATING</t>
        </is>
      </c>
    </row>
    <row r="25415">
      <c r="A25415" s="8" t="inlineStr">
        <is>
          <t>2026-08-05</t>
        </is>
      </c>
      <c r="B25415" s="8" t="n">
        <v>15</v>
      </c>
      <c r="C25415" s="8" t="n">
        <v>31</v>
      </c>
      <c r="D25415" s="8" t="inlineStr">
        <is>
          <t>Disney Adventure World</t>
        </is>
      </c>
      <c r="E25415" s="8" t="inlineStr">
        <is>
          <t>RC Racer Single Rider</t>
        </is>
      </c>
      <c r="F25415" s="8" t="inlineStr">
        <is>
          <t>STANDBY</t>
        </is>
      </c>
      <c r="G25415" s="8" t="n">
        <v>40</v>
      </c>
      <c r="H25415" s="8" t="inlineStr">
        <is>
          <t>OPERATING</t>
        </is>
      </c>
    </row>
    <row r="25416">
      <c r="A25416" s="8" t="inlineStr">
        <is>
          <t>2026-08-05</t>
        </is>
      </c>
      <c r="B25416" s="8" t="n">
        <v>15</v>
      </c>
      <c r="C25416" s="8" t="n">
        <v>31</v>
      </c>
      <c r="D25416" s="8" t="inlineStr">
        <is>
          <t>Disney Adventure World</t>
        </is>
      </c>
      <c r="E25416" s="8" t="inlineStr">
        <is>
          <t>Slinky® Dog Zigzag Spin</t>
        </is>
      </c>
      <c r="F25416" s="8" t="inlineStr">
        <is>
          <t>STANDBY</t>
        </is>
      </c>
      <c r="G25416" s="8" t="n">
        <v>15</v>
      </c>
      <c r="H25416" s="8" t="inlineStr">
        <is>
          <t>OPERATING</t>
        </is>
      </c>
    </row>
    <row r="25417">
      <c r="A25417" s="8" t="inlineStr">
        <is>
          <t>2026-08-05</t>
        </is>
      </c>
      <c r="B25417" s="8" t="n">
        <v>15</v>
      </c>
      <c r="C25417" s="8" t="n">
        <v>31</v>
      </c>
      <c r="D25417" s="8" t="inlineStr">
        <is>
          <t>Disney Adventure World</t>
        </is>
      </c>
      <c r="E25417" s="8" t="inlineStr">
        <is>
          <t>Toy Soldiers Parachute Drop</t>
        </is>
      </c>
      <c r="F25417" s="8" t="inlineStr">
        <is>
          <t>STANDBY</t>
        </is>
      </c>
      <c r="G25417" s="8" t="n">
        <v>50</v>
      </c>
      <c r="H25417" s="8" t="inlineStr">
        <is>
          <t>OPERATING</t>
        </is>
      </c>
    </row>
    <row r="25418">
      <c r="A25418" s="8" t="inlineStr">
        <is>
          <t>2026-08-05</t>
        </is>
      </c>
      <c r="B25418" s="8" t="n">
        <v>15</v>
      </c>
      <c r="C25418" s="8" t="n">
        <v>31</v>
      </c>
      <c r="D25418" s="8" t="inlineStr">
        <is>
          <t>Disney Adventure World</t>
        </is>
      </c>
      <c r="E25418" s="8" t="inlineStr">
        <is>
          <t>Toy Soldiers Parachute Drop Single Rider</t>
        </is>
      </c>
      <c r="F25418" s="8" t="inlineStr">
        <is>
          <t>STANDBY</t>
        </is>
      </c>
      <c r="G25418" s="8" t="n">
        <v>20</v>
      </c>
      <c r="H25418" s="8" t="inlineStr">
        <is>
          <t>OPERATING</t>
        </is>
      </c>
    </row>
    <row r="25419">
      <c r="A25419" s="8" t="inlineStr">
        <is>
          <t>2026-08-05</t>
        </is>
      </c>
      <c r="B25419" s="8" t="n">
        <v>15</v>
      </c>
      <c r="C25419" s="8" t="n">
        <v>31</v>
      </c>
      <c r="D25419" s="8" t="inlineStr">
        <is>
          <t>Disney Adventure World</t>
        </is>
      </c>
      <c r="E25419" s="8" t="inlineStr">
        <is>
          <t>Entry to World of Frozen</t>
        </is>
      </c>
      <c r="F25419" s="8" t="inlineStr">
        <is>
          <t>STANDBY</t>
        </is>
      </c>
      <c r="G25419" s="8" t="n">
        <v>0</v>
      </c>
      <c r="H25419" s="8" t="inlineStr">
        <is>
          <t>OPERATING</t>
        </is>
      </c>
    </row>
    <row r="25420">
      <c r="A25420" s="8" t="inlineStr">
        <is>
          <t>2026-08-05</t>
        </is>
      </c>
      <c r="B25420" s="8" t="n">
        <v>15</v>
      </c>
      <c r="C25420" s="8" t="n">
        <v>31</v>
      </c>
      <c r="D25420" s="8" t="inlineStr">
        <is>
          <t>Disney Adventure World</t>
        </is>
      </c>
      <c r="E25420" s="8" t="inlineStr">
        <is>
          <t>Frozen Ever After</t>
        </is>
      </c>
      <c r="F25420" s="8" t="inlineStr">
        <is>
          <t>STANDBY</t>
        </is>
      </c>
      <c r="G25420" s="8" t="n">
        <v>45</v>
      </c>
      <c r="H25420" s="8" t="inlineStr">
        <is>
          <t>OPERATING</t>
        </is>
      </c>
    </row>
    <row r="25421">
      <c r="A25421" s="8" t="inlineStr">
        <is>
          <t>2026-08-05</t>
        </is>
      </c>
      <c r="B25421" s="8" t="n">
        <v>15</v>
      </c>
      <c r="C25421" s="8" t="n">
        <v>31</v>
      </c>
      <c r="D25421" s="8" t="inlineStr">
        <is>
          <t>Disney Adventure World</t>
        </is>
      </c>
      <c r="E25421" s="8" t="inlineStr">
        <is>
          <t>Raiponce Tangled Spin</t>
        </is>
      </c>
      <c r="F25421" s="8" t="inlineStr">
        <is>
          <t>STANDBY</t>
        </is>
      </c>
      <c r="G25421" s="8" t="n">
        <v>10</v>
      </c>
      <c r="H25421" s="8" t="inlineStr">
        <is>
          <t>OPERATING</t>
        </is>
      </c>
    </row>
    <row r="25422">
      <c r="A25422" s="8" t="inlineStr">
        <is>
          <t>2026-08-05</t>
        </is>
      </c>
      <c r="B25422" s="8" t="n">
        <v>15</v>
      </c>
      <c r="C25422" s="8" t="n">
        <v>45</v>
      </c>
      <c r="D25422" s="8" t="inlineStr">
        <is>
          <t>Disneyland Park</t>
        </is>
      </c>
      <c r="E25422" s="8" t="inlineStr">
        <is>
          <t>Adventure Isle</t>
        </is>
      </c>
      <c r="F25422" s="8" t="inlineStr">
        <is>
          <t>STANDBY</t>
        </is>
      </c>
      <c r="G25422" s="8" t="n">
        <v>0</v>
      </c>
      <c r="H25422" s="8" t="inlineStr">
        <is>
          <t>OPERATING</t>
        </is>
      </c>
    </row>
    <row r="25423">
      <c r="A25423" s="8" t="inlineStr">
        <is>
          <t>2026-08-05</t>
        </is>
      </c>
      <c r="B25423" s="8" t="n">
        <v>15</v>
      </c>
      <c r="C25423" s="8" t="n">
        <v>45</v>
      </c>
      <c r="D25423" s="8" t="inlineStr">
        <is>
          <t>Disneyland Park</t>
        </is>
      </c>
      <c r="E25423" s="8" t="inlineStr">
        <is>
          <t>Indiana Jones and the Temple of Peril Single Rider</t>
        </is>
      </c>
      <c r="F25423" s="8" t="inlineStr">
        <is>
          <t>STANDBY</t>
        </is>
      </c>
      <c r="G25423" s="8" t="n">
        <v>10</v>
      </c>
      <c r="H25423" s="8" t="inlineStr">
        <is>
          <t>OPERATING</t>
        </is>
      </c>
    </row>
    <row r="25424">
      <c r="A25424" s="8" t="inlineStr">
        <is>
          <t>2026-08-05</t>
        </is>
      </c>
      <c r="B25424" s="8" t="n">
        <v>15</v>
      </c>
      <c r="C25424" s="8" t="n">
        <v>45</v>
      </c>
      <c r="D25424" s="8" t="inlineStr">
        <is>
          <t>Disneyland Park</t>
        </is>
      </c>
      <c r="E25424" s="8" t="inlineStr">
        <is>
          <t>Indiana Jones™ and the Temple of Peril</t>
        </is>
      </c>
      <c r="F25424" s="8" t="inlineStr">
        <is>
          <t>STANDBY</t>
        </is>
      </c>
      <c r="G25424" s="8" t="n">
        <v>30</v>
      </c>
      <c r="H25424" s="8" t="inlineStr">
        <is>
          <t>OPERATING</t>
        </is>
      </c>
    </row>
    <row r="25425">
      <c r="A25425" s="8" t="inlineStr">
        <is>
          <t>2026-08-05</t>
        </is>
      </c>
      <c r="B25425" s="8" t="n">
        <v>15</v>
      </c>
      <c r="C25425" s="8" t="n">
        <v>45</v>
      </c>
      <c r="D25425" s="8" t="inlineStr">
        <is>
          <t>Disneyland Park</t>
        </is>
      </c>
      <c r="E25425" s="8" t="inlineStr">
        <is>
          <t>La Cabane des Robinson</t>
        </is>
      </c>
      <c r="F25425" s="8" t="inlineStr">
        <is>
          <t>STANDBY</t>
        </is>
      </c>
      <c r="G25425" s="8" t="n">
        <v>5</v>
      </c>
      <c r="H25425" s="8" t="inlineStr">
        <is>
          <t>OPERATING</t>
        </is>
      </c>
    </row>
    <row r="25426">
      <c r="A25426" s="8" t="inlineStr">
        <is>
          <t>2026-08-05</t>
        </is>
      </c>
      <c r="B25426" s="8" t="n">
        <v>15</v>
      </c>
      <c r="C25426" s="8" t="n">
        <v>45</v>
      </c>
      <c r="D25426" s="8" t="inlineStr">
        <is>
          <t>Disneyland Park</t>
        </is>
      </c>
      <c r="E25426" s="8" t="inlineStr">
        <is>
          <t>Le Passage Enchanté d'Aladdin</t>
        </is>
      </c>
      <c r="F25426" s="8" t="inlineStr">
        <is>
          <t>STANDBY</t>
        </is>
      </c>
      <c r="G25426" s="8" t="n">
        <v>0</v>
      </c>
      <c r="H25426" s="8" t="inlineStr">
        <is>
          <t>OPERATING</t>
        </is>
      </c>
    </row>
    <row r="25427">
      <c r="A25427" s="8" t="inlineStr">
        <is>
          <t>2026-08-05</t>
        </is>
      </c>
      <c r="B25427" s="8" t="n">
        <v>15</v>
      </c>
      <c r="C25427" s="8" t="n">
        <v>45</v>
      </c>
      <c r="D25427" s="8" t="inlineStr">
        <is>
          <t>Disneyland Park</t>
        </is>
      </c>
      <c r="E25427" s="8" t="inlineStr">
        <is>
          <t>Pirate Galleon</t>
        </is>
      </c>
      <c r="F25427" s="8" t="inlineStr">
        <is>
          <t>STANDBY</t>
        </is>
      </c>
      <c r="G25427" s="8" t="n">
        <v>0</v>
      </c>
      <c r="H25427" s="8" t="inlineStr">
        <is>
          <t>CLOSED</t>
        </is>
      </c>
    </row>
    <row r="25428">
      <c r="A25428" s="8" t="inlineStr">
        <is>
          <t>2026-08-05</t>
        </is>
      </c>
      <c r="B25428" s="8" t="n">
        <v>15</v>
      </c>
      <c r="C25428" s="8" t="n">
        <v>45</v>
      </c>
      <c r="D25428" s="8" t="inlineStr">
        <is>
          <t>Disneyland Park</t>
        </is>
      </c>
      <c r="E25428" s="8" t="inlineStr">
        <is>
          <t>Pirates of the Caribbean</t>
        </is>
      </c>
      <c r="F25428" s="8" t="inlineStr">
        <is>
          <t>STANDBY</t>
        </is>
      </c>
      <c r="G25428" s="8" t="n">
        <v>30</v>
      </c>
      <c r="H25428" s="8" t="inlineStr">
        <is>
          <t>OPERATING</t>
        </is>
      </c>
    </row>
    <row r="25429">
      <c r="A25429" s="8" t="inlineStr">
        <is>
          <t>2026-08-05</t>
        </is>
      </c>
      <c r="B25429" s="8" t="n">
        <v>15</v>
      </c>
      <c r="C25429" s="8" t="n">
        <v>45</v>
      </c>
      <c r="D25429" s="8" t="inlineStr">
        <is>
          <t>Disneyland Park</t>
        </is>
      </c>
      <c r="E25429" s="8" t="inlineStr">
        <is>
          <t>Pirates' Beach</t>
        </is>
      </c>
      <c r="F25429" s="8" t="inlineStr">
        <is>
          <t>STANDBY</t>
        </is>
      </c>
      <c r="G25429" s="8" t="n">
        <v>0</v>
      </c>
      <c r="H25429" s="8" t="inlineStr">
        <is>
          <t>OPERATING</t>
        </is>
      </c>
    </row>
    <row r="25430">
      <c r="A25430" s="8" t="inlineStr">
        <is>
          <t>2026-08-05</t>
        </is>
      </c>
      <c r="B25430" s="8" t="n">
        <v>15</v>
      </c>
      <c r="C25430" s="8" t="n">
        <v>45</v>
      </c>
      <c r="D25430" s="8" t="inlineStr">
        <is>
          <t>Disneyland Park</t>
        </is>
      </c>
      <c r="E25430" s="8" t="inlineStr">
        <is>
          <t>Autopia, presented by Avis</t>
        </is>
      </c>
      <c r="F25430" s="8" t="inlineStr">
        <is>
          <t>STANDBY</t>
        </is>
      </c>
      <c r="G25430" s="8" t="n">
        <v>30</v>
      </c>
      <c r="H25430" s="8" t="inlineStr">
        <is>
          <t>OPERATING</t>
        </is>
      </c>
    </row>
    <row r="25431">
      <c r="A25431" s="8" t="inlineStr">
        <is>
          <t>2026-08-05</t>
        </is>
      </c>
      <c r="B25431" s="8" t="n">
        <v>15</v>
      </c>
      <c r="C25431" s="8" t="n">
        <v>45</v>
      </c>
      <c r="D25431" s="8" t="inlineStr">
        <is>
          <t>Disneyland Park</t>
        </is>
      </c>
      <c r="E25431" s="8" t="inlineStr">
        <is>
          <t>Buzz Lightyear Laser Blast</t>
        </is>
      </c>
      <c r="F25431" s="8" t="inlineStr">
        <is>
          <t>STANDBY</t>
        </is>
      </c>
      <c r="G25431" s="8" t="n">
        <v>40</v>
      </c>
      <c r="H25431" s="8" t="inlineStr">
        <is>
          <t>OPERATING</t>
        </is>
      </c>
    </row>
    <row r="25432">
      <c r="A25432" s="8" t="inlineStr">
        <is>
          <t>2026-08-05</t>
        </is>
      </c>
      <c r="B25432" s="8" t="n">
        <v>15</v>
      </c>
      <c r="C25432" s="8" t="n">
        <v>45</v>
      </c>
      <c r="D25432" s="8" t="inlineStr">
        <is>
          <t>Disneyland Park</t>
        </is>
      </c>
      <c r="E25432" s="8" t="inlineStr">
        <is>
          <t>Disneyland Railroad Discoveryland Station</t>
        </is>
      </c>
      <c r="F25432" s="8" t="inlineStr">
        <is>
          <t>STANDBY</t>
        </is>
      </c>
      <c r="G25432" s="8" t="n">
        <v>0</v>
      </c>
      <c r="H25432" s="8" t="inlineStr">
        <is>
          <t>CLOSED</t>
        </is>
      </c>
    </row>
    <row r="25433">
      <c r="A25433" s="8" t="inlineStr">
        <is>
          <t>2026-08-05</t>
        </is>
      </c>
      <c r="B25433" s="8" t="n">
        <v>15</v>
      </c>
      <c r="C25433" s="8" t="n">
        <v>45</v>
      </c>
      <c r="D25433" s="8" t="inlineStr">
        <is>
          <t>Disneyland Park</t>
        </is>
      </c>
      <c r="E25433" s="8" t="inlineStr">
        <is>
          <t>Les Mystères du Nautilus</t>
        </is>
      </c>
      <c r="F25433" s="8" t="inlineStr">
        <is>
          <t>STANDBY</t>
        </is>
      </c>
      <c r="G25433" s="8" t="n">
        <v>5</v>
      </c>
      <c r="H25433" s="8" t="inlineStr">
        <is>
          <t>OPERATING</t>
        </is>
      </c>
    </row>
    <row r="25434">
      <c r="A25434" s="8" t="inlineStr">
        <is>
          <t>2026-08-05</t>
        </is>
      </c>
      <c r="B25434" s="8" t="n">
        <v>15</v>
      </c>
      <c r="C25434" s="8" t="n">
        <v>45</v>
      </c>
      <c r="D25434" s="8" t="inlineStr">
        <is>
          <t>Disneyland Park</t>
        </is>
      </c>
      <c r="E25434" s="8" t="inlineStr">
        <is>
          <t>Mickey’s PhilharMagic</t>
        </is>
      </c>
      <c r="F25434" s="8" t="inlineStr">
        <is>
          <t>STANDBY</t>
        </is>
      </c>
      <c r="G25434" s="8" t="n">
        <v>0</v>
      </c>
      <c r="H25434" s="8" t="inlineStr">
        <is>
          <t>OPERATING</t>
        </is>
      </c>
    </row>
    <row r="25435">
      <c r="A25435" s="8" t="inlineStr">
        <is>
          <t>2026-08-05</t>
        </is>
      </c>
      <c r="B25435" s="8" t="n">
        <v>15</v>
      </c>
      <c r="C25435" s="8" t="n">
        <v>45</v>
      </c>
      <c r="D25435" s="8" t="inlineStr">
        <is>
          <t>Disneyland Park</t>
        </is>
      </c>
      <c r="E25435" s="8" t="inlineStr">
        <is>
          <t>Orbitron®</t>
        </is>
      </c>
      <c r="F25435" s="8" t="inlineStr">
        <is>
          <t>STANDBY</t>
        </is>
      </c>
      <c r="G25435" s="8" t="n">
        <v>45</v>
      </c>
      <c r="H25435" s="8" t="inlineStr">
        <is>
          <t>OPERATING</t>
        </is>
      </c>
    </row>
    <row r="25436">
      <c r="A25436" s="8" t="inlineStr">
        <is>
          <t>2026-08-05</t>
        </is>
      </c>
      <c r="B25436" s="8" t="n">
        <v>15</v>
      </c>
      <c r="C25436" s="8" t="n">
        <v>45</v>
      </c>
      <c r="D25436" s="8" t="inlineStr">
        <is>
          <t>Disneyland Park</t>
        </is>
      </c>
      <c r="E25436" s="8" t="inlineStr">
        <is>
          <t>Star Tours: The Adventures Continue*</t>
        </is>
      </c>
      <c r="F25436" s="8" t="inlineStr">
        <is>
          <t>STANDBY</t>
        </is>
      </c>
      <c r="G25436" s="8" t="n">
        <v>15</v>
      </c>
      <c r="H25436" s="8" t="inlineStr">
        <is>
          <t>OPERATING</t>
        </is>
      </c>
    </row>
    <row r="25437">
      <c r="A25437" s="8" t="inlineStr">
        <is>
          <t>2026-08-05</t>
        </is>
      </c>
      <c r="B25437" s="8" t="n">
        <v>15</v>
      </c>
      <c r="C25437" s="8" t="n">
        <v>45</v>
      </c>
      <c r="D25437" s="8" t="inlineStr">
        <is>
          <t>Disneyland Park</t>
        </is>
      </c>
      <c r="E25437" s="8" t="inlineStr">
        <is>
          <t>Star Wars Hyperspace Mountain</t>
        </is>
      </c>
      <c r="F25437" s="8" t="inlineStr">
        <is>
          <t>STANDBY</t>
        </is>
      </c>
      <c r="G25437" s="8" t="n">
        <v>75</v>
      </c>
      <c r="H25437" s="8" t="inlineStr">
        <is>
          <t>OPERATING</t>
        </is>
      </c>
    </row>
    <row r="25438">
      <c r="A25438" s="8" t="inlineStr">
        <is>
          <t>2026-08-05</t>
        </is>
      </c>
      <c r="B25438" s="8" t="n">
        <v>15</v>
      </c>
      <c r="C25438" s="8" t="n">
        <v>45</v>
      </c>
      <c r="D25438" s="8" t="inlineStr">
        <is>
          <t>Disneyland Park</t>
        </is>
      </c>
      <c r="E25438" s="8" t="inlineStr">
        <is>
          <t>Star Wars Hyperspace Mountain Single Rider</t>
        </is>
      </c>
      <c r="F25438" s="8" t="inlineStr">
        <is>
          <t>STANDBY</t>
        </is>
      </c>
      <c r="G25438" s="8" t="n">
        <v>65</v>
      </c>
      <c r="H25438" s="8" t="inlineStr">
        <is>
          <t>OPERATING</t>
        </is>
      </c>
    </row>
    <row r="25439">
      <c r="A25439" s="8" t="inlineStr">
        <is>
          <t>2026-08-05</t>
        </is>
      </c>
      <c r="B25439" s="8" t="n">
        <v>15</v>
      </c>
      <c r="C25439" s="8" t="n">
        <v>45</v>
      </c>
      <c r="D25439" s="8" t="inlineStr">
        <is>
          <t>Disneyland Park</t>
        </is>
      </c>
      <c r="E25439" s="8" t="inlineStr">
        <is>
          <t>Welcome to Starport: A Star Wars Encounter</t>
        </is>
      </c>
      <c r="F25439" s="8" t="inlineStr">
        <is>
          <t>STANDBY</t>
        </is>
      </c>
      <c r="G25439" s="8" t="n">
        <v>20</v>
      </c>
      <c r="H25439" s="8" t="inlineStr">
        <is>
          <t>OPERATING</t>
        </is>
      </c>
    </row>
    <row r="25440">
      <c r="A25440" s="8" t="inlineStr">
        <is>
          <t>2026-08-05</t>
        </is>
      </c>
      <c r="B25440" s="8" t="n">
        <v>15</v>
      </c>
      <c r="C25440" s="8" t="n">
        <v>45</v>
      </c>
      <c r="D25440" s="8" t="inlineStr">
        <is>
          <t>Disneyland Park</t>
        </is>
      </c>
      <c r="E25440" s="8" t="inlineStr">
        <is>
          <t>"it's a small world"</t>
        </is>
      </c>
      <c r="F25440" s="8" t="inlineStr">
        <is>
          <t>STANDBY</t>
        </is>
      </c>
      <c r="G25440" s="8" t="n">
        <v>10</v>
      </c>
      <c r="H25440" s="8" t="inlineStr">
        <is>
          <t>OPERATING</t>
        </is>
      </c>
    </row>
    <row r="25441">
      <c r="A25441" s="8" t="inlineStr">
        <is>
          <t>2026-08-05</t>
        </is>
      </c>
      <c r="B25441" s="8" t="n">
        <v>15</v>
      </c>
      <c r="C25441" s="8" t="n">
        <v>45</v>
      </c>
      <c r="D25441" s="8" t="inlineStr">
        <is>
          <t>Disneyland Park</t>
        </is>
      </c>
      <c r="E25441" s="8" t="inlineStr">
        <is>
          <t>Alice's Curious Labyrinth</t>
        </is>
      </c>
      <c r="F25441" s="8" t="inlineStr">
        <is>
          <t>STANDBY</t>
        </is>
      </c>
      <c r="G25441" s="8" t="n">
        <v>5</v>
      </c>
      <c r="H25441" s="8" t="inlineStr">
        <is>
          <t>OPERATING</t>
        </is>
      </c>
    </row>
    <row r="25442">
      <c r="A25442" s="8" t="inlineStr">
        <is>
          <t>2026-08-05</t>
        </is>
      </c>
      <c r="B25442" s="8" t="n">
        <v>15</v>
      </c>
      <c r="C25442" s="8" t="n">
        <v>45</v>
      </c>
      <c r="D25442" s="8" t="inlineStr">
        <is>
          <t>Disneyland Park</t>
        </is>
      </c>
      <c r="E25442" s="8" t="inlineStr">
        <is>
          <t>Blanche-Neige et les Sept Nains®</t>
        </is>
      </c>
      <c r="F25442" s="8" t="inlineStr">
        <is>
          <t>STANDBY</t>
        </is>
      </c>
      <c r="G25442" s="8" t="n">
        <v>15</v>
      </c>
      <c r="H25442" s="8" t="inlineStr">
        <is>
          <t>OPERATING</t>
        </is>
      </c>
    </row>
    <row r="25443">
      <c r="A25443" s="8" t="inlineStr">
        <is>
          <t>2026-08-05</t>
        </is>
      </c>
      <c r="B25443" s="8" t="n">
        <v>15</v>
      </c>
      <c r="C25443" s="8" t="n">
        <v>45</v>
      </c>
      <c r="D25443" s="8" t="inlineStr">
        <is>
          <t>Disneyland Park</t>
        </is>
      </c>
      <c r="E25443" s="8" t="inlineStr">
        <is>
          <t>Casey Jr. – le Petit Train du Cirque</t>
        </is>
      </c>
      <c r="F25443" s="8" t="inlineStr">
        <is>
          <t>STANDBY</t>
        </is>
      </c>
      <c r="G25443" s="8" t="n">
        <v>0</v>
      </c>
      <c r="H25443" s="8" t="inlineStr">
        <is>
          <t>CLOSED</t>
        </is>
      </c>
    </row>
    <row r="25444">
      <c r="A25444" s="8" t="inlineStr">
        <is>
          <t>2026-08-05</t>
        </is>
      </c>
      <c r="B25444" s="8" t="n">
        <v>15</v>
      </c>
      <c r="C25444" s="8" t="n">
        <v>45</v>
      </c>
      <c r="D25444" s="8" t="inlineStr">
        <is>
          <t>Disneyland Park</t>
        </is>
      </c>
      <c r="E25444" s="8" t="inlineStr">
        <is>
          <t>Disneyland Railroad Fantasyland Station</t>
        </is>
      </c>
      <c r="F25444" s="8" t="inlineStr">
        <is>
          <t>STANDBY</t>
        </is>
      </c>
      <c r="G25444" s="8" t="n">
        <v>0</v>
      </c>
      <c r="H25444" s="8" t="inlineStr">
        <is>
          <t>CLOSED</t>
        </is>
      </c>
    </row>
    <row r="25445">
      <c r="A25445" s="8" t="inlineStr">
        <is>
          <t>2026-08-05</t>
        </is>
      </c>
      <c r="B25445" s="8" t="n">
        <v>15</v>
      </c>
      <c r="C25445" s="8" t="n">
        <v>45</v>
      </c>
      <c r="D25445" s="8" t="inlineStr">
        <is>
          <t>Disneyland Park</t>
        </is>
      </c>
      <c r="E25445" s="8" t="inlineStr">
        <is>
          <t>Disneyland Railroad Main Street Station</t>
        </is>
      </c>
      <c r="F25445" s="8" t="inlineStr">
        <is>
          <t>STANDBY</t>
        </is>
      </c>
      <c r="G25445" s="8" t="n">
        <v>20</v>
      </c>
      <c r="H25445" s="8" t="inlineStr">
        <is>
          <t>OPERATING</t>
        </is>
      </c>
    </row>
    <row r="25446">
      <c r="A25446" s="8" t="inlineStr">
        <is>
          <t>2026-08-05</t>
        </is>
      </c>
      <c r="B25446" s="8" t="n">
        <v>15</v>
      </c>
      <c r="C25446" s="8" t="n">
        <v>45</v>
      </c>
      <c r="D25446" s="8" t="inlineStr">
        <is>
          <t>Disneyland Park</t>
        </is>
      </c>
      <c r="E25446" s="8" t="inlineStr">
        <is>
          <t>Dumbo the Flying Elephant</t>
        </is>
      </c>
      <c r="F25446" s="8" t="inlineStr">
        <is>
          <t>STANDBY</t>
        </is>
      </c>
      <c r="G25446" s="8" t="n">
        <v>35</v>
      </c>
      <c r="H25446" s="8" t="inlineStr">
        <is>
          <t>OPERATING</t>
        </is>
      </c>
    </row>
    <row r="25447">
      <c r="A25447" s="8" t="inlineStr">
        <is>
          <t>2026-08-05</t>
        </is>
      </c>
      <c r="B25447" s="8" t="n">
        <v>15</v>
      </c>
      <c r="C25447" s="8" t="n">
        <v>45</v>
      </c>
      <c r="D25447" s="8" t="inlineStr">
        <is>
          <t>Disneyland Park</t>
        </is>
      </c>
      <c r="E25447" s="8" t="inlineStr">
        <is>
          <t>La Tanière du Dragon</t>
        </is>
      </c>
      <c r="F25447" s="8" t="inlineStr">
        <is>
          <t>STANDBY</t>
        </is>
      </c>
      <c r="G25447" s="8" t="n">
        <v>0</v>
      </c>
      <c r="H25447" s="8" t="inlineStr">
        <is>
          <t>OPERATING</t>
        </is>
      </c>
    </row>
    <row r="25448">
      <c r="A25448" s="8" t="inlineStr">
        <is>
          <t>2026-08-05</t>
        </is>
      </c>
      <c r="B25448" s="8" t="n">
        <v>15</v>
      </c>
      <c r="C25448" s="8" t="n">
        <v>45</v>
      </c>
      <c r="D25448" s="8" t="inlineStr">
        <is>
          <t>Disneyland Park</t>
        </is>
      </c>
      <c r="E25448" s="8" t="inlineStr">
        <is>
          <t>Le Carrousel de Lancelot</t>
        </is>
      </c>
      <c r="F25448" s="8" t="inlineStr">
        <is>
          <t>STANDBY</t>
        </is>
      </c>
      <c r="G25448" s="8" t="n">
        <v>15</v>
      </c>
      <c r="H25448" s="8" t="inlineStr">
        <is>
          <t>OPERATING</t>
        </is>
      </c>
    </row>
    <row r="25449">
      <c r="A25449" s="8" t="inlineStr">
        <is>
          <t>2026-08-05</t>
        </is>
      </c>
      <c r="B25449" s="8" t="n">
        <v>15</v>
      </c>
      <c r="C25449" s="8" t="n">
        <v>45</v>
      </c>
      <c r="D25449" s="8" t="inlineStr">
        <is>
          <t>Disneyland Park</t>
        </is>
      </c>
      <c r="E25449" s="8" t="inlineStr">
        <is>
          <t>Le Pays des Contes de Fées, presented by Vittel</t>
        </is>
      </c>
      <c r="F25449" s="8" t="inlineStr">
        <is>
          <t>STANDBY</t>
        </is>
      </c>
      <c r="G25449" s="8" t="n">
        <v>10</v>
      </c>
      <c r="H25449" s="8" t="inlineStr">
        <is>
          <t>OPERATING</t>
        </is>
      </c>
    </row>
    <row r="25450">
      <c r="A25450" s="8" t="inlineStr">
        <is>
          <t>2026-08-05</t>
        </is>
      </c>
      <c r="B25450" s="8" t="n">
        <v>15</v>
      </c>
      <c r="C25450" s="8" t="n">
        <v>45</v>
      </c>
      <c r="D25450" s="8" t="inlineStr">
        <is>
          <t>Disneyland Park</t>
        </is>
      </c>
      <c r="E25450" s="8" t="inlineStr">
        <is>
          <t>Les Voyages de Pinocchio</t>
        </is>
      </c>
      <c r="F25450" s="8" t="inlineStr">
        <is>
          <t>STANDBY</t>
        </is>
      </c>
      <c r="G25450" s="8" t="n">
        <v>20</v>
      </c>
      <c r="H25450" s="8" t="inlineStr">
        <is>
          <t>OPERATING</t>
        </is>
      </c>
    </row>
    <row r="25451">
      <c r="A25451" s="8" t="inlineStr">
        <is>
          <t>2026-08-05</t>
        </is>
      </c>
      <c r="B25451" s="8" t="n">
        <v>15</v>
      </c>
      <c r="C25451" s="8" t="n">
        <v>45</v>
      </c>
      <c r="D25451" s="8" t="inlineStr">
        <is>
          <t>Disneyland Park</t>
        </is>
      </c>
      <c r="E25451" s="8" t="inlineStr">
        <is>
          <t>Mad Hatter's Tea Cups</t>
        </is>
      </c>
      <c r="F25451" s="8" t="inlineStr">
        <is>
          <t>STANDBY</t>
        </is>
      </c>
      <c r="G25451" s="8" t="n">
        <v>10</v>
      </c>
      <c r="H25451" s="8" t="inlineStr">
        <is>
          <t>OPERATING</t>
        </is>
      </c>
    </row>
    <row r="25452">
      <c r="A25452" s="8" t="inlineStr">
        <is>
          <t>2026-08-05</t>
        </is>
      </c>
      <c r="B25452" s="8" t="n">
        <v>15</v>
      </c>
      <c r="C25452" s="8" t="n">
        <v>45</v>
      </c>
      <c r="D25452" s="8" t="inlineStr">
        <is>
          <t>Disneyland Park</t>
        </is>
      </c>
      <c r="E25452" s="8" t="inlineStr">
        <is>
          <t>Meet Mickey Mouse</t>
        </is>
      </c>
      <c r="F25452" s="8" t="inlineStr">
        <is>
          <t>STANDBY</t>
        </is>
      </c>
      <c r="G25452" s="8" t="n">
        <v>0</v>
      </c>
      <c r="H25452" s="8" t="inlineStr">
        <is>
          <t>OPERATING</t>
        </is>
      </c>
    </row>
    <row r="25453">
      <c r="A25453" s="8" t="inlineStr">
        <is>
          <t>2026-08-05</t>
        </is>
      </c>
      <c r="B25453" s="8" t="n">
        <v>15</v>
      </c>
      <c r="C25453" s="8" t="n">
        <v>45</v>
      </c>
      <c r="D25453" s="8" t="inlineStr">
        <is>
          <t>Disneyland Park</t>
        </is>
      </c>
      <c r="E25453" s="8" t="inlineStr">
        <is>
          <t>Peter Pan's Flight</t>
        </is>
      </c>
      <c r="F25453" s="8" t="inlineStr">
        <is>
          <t>STANDBY</t>
        </is>
      </c>
      <c r="G25453" s="8" t="n">
        <v>50</v>
      </c>
      <c r="H25453" s="8" t="inlineStr">
        <is>
          <t>OPERATING</t>
        </is>
      </c>
    </row>
    <row r="25454">
      <c r="A25454" s="8" t="inlineStr">
        <is>
          <t>2026-08-05</t>
        </is>
      </c>
      <c r="B25454" s="8" t="n">
        <v>15</v>
      </c>
      <c r="C25454" s="8" t="n">
        <v>45</v>
      </c>
      <c r="D25454" s="8" t="inlineStr">
        <is>
          <t>Disneyland Park</t>
        </is>
      </c>
      <c r="E25454" s="8" t="inlineStr">
        <is>
          <t>Princess Pavilion</t>
        </is>
      </c>
      <c r="F25454" s="8" t="inlineStr">
        <is>
          <t>STANDBY</t>
        </is>
      </c>
      <c r="G25454" s="8" t="n">
        <v>0</v>
      </c>
      <c r="H25454" s="8" t="inlineStr">
        <is>
          <t>OPERATING</t>
        </is>
      </c>
    </row>
    <row r="25455">
      <c r="A25455" s="8" t="inlineStr">
        <is>
          <t>2026-08-05</t>
        </is>
      </c>
      <c r="B25455" s="8" t="n">
        <v>15</v>
      </c>
      <c r="C25455" s="8" t="n">
        <v>45</v>
      </c>
      <c r="D25455" s="8" t="inlineStr">
        <is>
          <t>Disneyland Park</t>
        </is>
      </c>
      <c r="E25455" s="8" t="inlineStr">
        <is>
          <t>Big Thunder Mountain</t>
        </is>
      </c>
      <c r="F25455" s="8" t="inlineStr">
        <is>
          <t>STANDBY</t>
        </is>
      </c>
      <c r="G25455" s="8" t="n">
        <v>85</v>
      </c>
      <c r="H25455" s="8" t="inlineStr">
        <is>
          <t>OPERATING</t>
        </is>
      </c>
    </row>
    <row r="25456">
      <c r="A25456" s="8" t="inlineStr">
        <is>
          <t>2026-08-05</t>
        </is>
      </c>
      <c r="B25456" s="8" t="n">
        <v>15</v>
      </c>
      <c r="C25456" s="8" t="n">
        <v>45</v>
      </c>
      <c r="D25456" s="8" t="inlineStr">
        <is>
          <t>Disneyland Park</t>
        </is>
      </c>
      <c r="E25456" s="8" t="inlineStr">
        <is>
          <t>Disneyland Railroad Frontierland Depot</t>
        </is>
      </c>
      <c r="F25456" s="8" t="inlineStr">
        <is>
          <t>STANDBY</t>
        </is>
      </c>
      <c r="G25456" s="8" t="n">
        <v>20</v>
      </c>
      <c r="H25456" s="8" t="inlineStr">
        <is>
          <t>OPERATING</t>
        </is>
      </c>
    </row>
    <row r="25457">
      <c r="A25457" s="8" t="inlineStr">
        <is>
          <t>2026-08-05</t>
        </is>
      </c>
      <c r="B25457" s="8" t="n">
        <v>15</v>
      </c>
      <c r="C25457" s="8" t="n">
        <v>45</v>
      </c>
      <c r="D25457" s="8" t="inlineStr">
        <is>
          <t>Disneyland Park</t>
        </is>
      </c>
      <c r="E25457" s="8" t="inlineStr">
        <is>
          <t>Frontierland Playground</t>
        </is>
      </c>
      <c r="F25457" s="8" t="inlineStr">
        <is>
          <t>STANDBY</t>
        </is>
      </c>
      <c r="G25457" s="8" t="n">
        <v>0</v>
      </c>
      <c r="H25457" s="8" t="inlineStr">
        <is>
          <t>OPERATING</t>
        </is>
      </c>
    </row>
    <row r="25458">
      <c r="A25458" s="8" t="inlineStr">
        <is>
          <t>2026-08-05</t>
        </is>
      </c>
      <c r="B25458" s="8" t="n">
        <v>15</v>
      </c>
      <c r="C25458" s="8" t="n">
        <v>45</v>
      </c>
      <c r="D25458" s="8" t="inlineStr">
        <is>
          <t>Disneyland Park</t>
        </is>
      </c>
      <c r="E25458" s="8" t="inlineStr">
        <is>
          <t>Phantom Manor</t>
        </is>
      </c>
      <c r="F25458" s="8" t="inlineStr">
        <is>
          <t>STANDBY</t>
        </is>
      </c>
      <c r="G25458" s="8" t="n">
        <v>30</v>
      </c>
      <c r="H25458" s="8" t="inlineStr">
        <is>
          <t>OPERATING</t>
        </is>
      </c>
    </row>
    <row r="25459">
      <c r="A25459" s="8" t="inlineStr">
        <is>
          <t>2026-08-05</t>
        </is>
      </c>
      <c r="B25459" s="8" t="n">
        <v>15</v>
      </c>
      <c r="C25459" s="8" t="n">
        <v>45</v>
      </c>
      <c r="D25459" s="8" t="inlineStr">
        <is>
          <t>Disneyland Park</t>
        </is>
      </c>
      <c r="E25459" s="8" t="inlineStr">
        <is>
          <t>River Rogue Keelboats</t>
        </is>
      </c>
      <c r="F25459" s="8" t="inlineStr">
        <is>
          <t>STANDBY</t>
        </is>
      </c>
      <c r="G25459" s="8" t="n">
        <v>0</v>
      </c>
      <c r="H25459" s="8" t="inlineStr">
        <is>
          <t>CLOSED</t>
        </is>
      </c>
    </row>
    <row r="25460">
      <c r="A25460" s="8" t="inlineStr">
        <is>
          <t>2026-08-05</t>
        </is>
      </c>
      <c r="B25460" s="8" t="n">
        <v>15</v>
      </c>
      <c r="C25460" s="8" t="n">
        <v>45</v>
      </c>
      <c r="D25460" s="8" t="inlineStr">
        <is>
          <t>Disneyland Park</t>
        </is>
      </c>
      <c r="E25460" s="8" t="inlineStr">
        <is>
          <t>Rustler Roundup Shootin' Gallery</t>
        </is>
      </c>
      <c r="F25460" s="8" t="inlineStr">
        <is>
          <t>STANDBY</t>
        </is>
      </c>
      <c r="G25460" s="8" t="n">
        <v>0</v>
      </c>
      <c r="H25460" s="8" t="inlineStr">
        <is>
          <t>OPERATING</t>
        </is>
      </c>
    </row>
    <row r="25461">
      <c r="A25461" s="8" t="inlineStr">
        <is>
          <t>2026-08-05</t>
        </is>
      </c>
      <c r="B25461" s="8" t="n">
        <v>15</v>
      </c>
      <c r="C25461" s="8" t="n">
        <v>45</v>
      </c>
      <c r="D25461" s="8" t="inlineStr">
        <is>
          <t>Disneyland Park</t>
        </is>
      </c>
      <c r="E25461" s="8" t="inlineStr">
        <is>
          <t>Thunder Mesa Riverboat Landing</t>
        </is>
      </c>
      <c r="F25461" s="8" t="inlineStr">
        <is>
          <t>STANDBY</t>
        </is>
      </c>
      <c r="G25461" s="8" t="n">
        <v>20</v>
      </c>
      <c r="H25461" s="8" t="inlineStr">
        <is>
          <t>OPERATING</t>
        </is>
      </c>
    </row>
    <row r="25462">
      <c r="A25462" s="8" t="inlineStr">
        <is>
          <t>2026-08-05</t>
        </is>
      </c>
      <c r="B25462" s="8" t="n">
        <v>15</v>
      </c>
      <c r="C25462" s="8" t="n">
        <v>45</v>
      </c>
      <c r="D25462" s="8" t="inlineStr">
        <is>
          <t>Disneyland Park</t>
        </is>
      </c>
      <c r="E25462" s="8" t="inlineStr">
        <is>
          <t>Disneyland Railroad Main Street Station</t>
        </is>
      </c>
      <c r="F25462" s="8" t="inlineStr">
        <is>
          <t>STANDBY</t>
        </is>
      </c>
      <c r="G25462" s="8" t="n">
        <v>0</v>
      </c>
      <c r="H25462" s="8" t="inlineStr">
        <is>
          <t>OPERATING</t>
        </is>
      </c>
    </row>
    <row r="25463">
      <c r="A25463" s="8" t="inlineStr">
        <is>
          <t>2026-08-05</t>
        </is>
      </c>
      <c r="B25463" s="8" t="n">
        <v>15</v>
      </c>
      <c r="C25463" s="8" t="n">
        <v>45</v>
      </c>
      <c r="D25463" s="8" t="inlineStr">
        <is>
          <t>Disneyland Park</t>
        </is>
      </c>
      <c r="E25463" s="8" t="inlineStr">
        <is>
          <t>Main Street Vehicles</t>
        </is>
      </c>
      <c r="F25463" s="8" t="inlineStr">
        <is>
          <t>STANDBY</t>
        </is>
      </c>
      <c r="G25463" s="8" t="n">
        <v>0</v>
      </c>
      <c r="H25463" s="8" t="inlineStr">
        <is>
          <t>CLOSED</t>
        </is>
      </c>
    </row>
    <row r="25464">
      <c r="A25464" s="8" t="inlineStr">
        <is>
          <t>2026-08-05</t>
        </is>
      </c>
      <c r="B25464" s="8" t="n">
        <v>15</v>
      </c>
      <c r="C25464" s="8" t="n">
        <v>45</v>
      </c>
      <c r="D25464" s="8" t="inlineStr">
        <is>
          <t>Disney Adventure World</t>
        </is>
      </c>
      <c r="E25464" s="8" t="inlineStr">
        <is>
          <t>Avengers Assemble: Flight Force</t>
        </is>
      </c>
      <c r="F25464" s="8" t="inlineStr">
        <is>
          <t>STANDBY</t>
        </is>
      </c>
      <c r="G25464" s="8" t="n">
        <v>15</v>
      </c>
      <c r="H25464" s="8" t="inlineStr">
        <is>
          <t>OPERATING</t>
        </is>
      </c>
    </row>
    <row r="25465">
      <c r="A25465" s="8" t="inlineStr">
        <is>
          <t>2026-08-05</t>
        </is>
      </c>
      <c r="B25465" s="8" t="n">
        <v>15</v>
      </c>
      <c r="C25465" s="8" t="n">
        <v>45</v>
      </c>
      <c r="D25465" s="8" t="inlineStr">
        <is>
          <t>Disney Adventure World</t>
        </is>
      </c>
      <c r="E25465" s="8" t="inlineStr">
        <is>
          <t>Avengers Assemble: Flight Force Single Rider</t>
        </is>
      </c>
      <c r="F25465" s="8" t="inlineStr">
        <is>
          <t>STANDBY</t>
        </is>
      </c>
      <c r="G25465" s="8" t="n">
        <v>10</v>
      </c>
      <c r="H25465" s="8" t="inlineStr">
        <is>
          <t>OPERATING</t>
        </is>
      </c>
    </row>
    <row r="25466">
      <c r="A25466" s="8" t="inlineStr">
        <is>
          <t>2026-08-05</t>
        </is>
      </c>
      <c r="B25466" s="8" t="n">
        <v>15</v>
      </c>
      <c r="C25466" s="8" t="n">
        <v>45</v>
      </c>
      <c r="D25466" s="8" t="inlineStr">
        <is>
          <t>Disney Adventure World</t>
        </is>
      </c>
      <c r="E25466" s="8" t="inlineStr">
        <is>
          <t>Spider-Man W.E.B. Adventure</t>
        </is>
      </c>
      <c r="F25466" s="8" t="inlineStr">
        <is>
          <t>STANDBY</t>
        </is>
      </c>
      <c r="G25466" s="8" t="n">
        <v>55</v>
      </c>
      <c r="H25466" s="8" t="inlineStr">
        <is>
          <t>OPERATING</t>
        </is>
      </c>
    </row>
    <row r="25467">
      <c r="A25467" s="8" t="inlineStr">
        <is>
          <t>2026-08-05</t>
        </is>
      </c>
      <c r="B25467" s="8" t="n">
        <v>15</v>
      </c>
      <c r="C25467" s="8" t="n">
        <v>45</v>
      </c>
      <c r="D25467" s="8" t="inlineStr">
        <is>
          <t>Disney Adventure World</t>
        </is>
      </c>
      <c r="E25467" s="8" t="inlineStr">
        <is>
          <t>Spider-Man W.E.B. Adventure Single Rider</t>
        </is>
      </c>
      <c r="F25467" s="8" t="inlineStr">
        <is>
          <t>STANDBY</t>
        </is>
      </c>
      <c r="G25467" s="8" t="n">
        <v>20</v>
      </c>
      <c r="H25467" s="8" t="inlineStr">
        <is>
          <t>OPERATING</t>
        </is>
      </c>
    </row>
    <row r="25468">
      <c r="A25468" s="8" t="inlineStr">
        <is>
          <t>2026-08-05</t>
        </is>
      </c>
      <c r="B25468" s="8" t="n">
        <v>15</v>
      </c>
      <c r="C25468" s="8" t="n">
        <v>45</v>
      </c>
      <c r="D25468" s="8" t="inlineStr">
        <is>
          <t>Disney Adventure World</t>
        </is>
      </c>
      <c r="E25468" s="8" t="inlineStr">
        <is>
          <t>The Twilight Zone Tower of Terror</t>
        </is>
      </c>
      <c r="F25468" s="8" t="inlineStr">
        <is>
          <t>STANDBY</t>
        </is>
      </c>
      <c r="G25468" s="8" t="n">
        <v>25</v>
      </c>
      <c r="H25468" s="8" t="inlineStr">
        <is>
          <t>OPERATING</t>
        </is>
      </c>
    </row>
    <row r="25469">
      <c r="A25469" s="8" t="inlineStr">
        <is>
          <t>2026-08-05</t>
        </is>
      </c>
      <c r="B25469" s="8" t="n">
        <v>15</v>
      </c>
      <c r="C25469" s="8" t="n">
        <v>45</v>
      </c>
      <c r="D25469" s="8" t="inlineStr">
        <is>
          <t>Disney Adventure World</t>
        </is>
      </c>
      <c r="E25469" s="8" t="inlineStr">
        <is>
          <t>Cars Quatre Roues Rallye</t>
        </is>
      </c>
      <c r="F25469" s="8" t="inlineStr">
        <is>
          <t>STANDBY</t>
        </is>
      </c>
      <c r="G25469" s="8" t="n">
        <v>20</v>
      </c>
      <c r="H25469" s="8" t="inlineStr">
        <is>
          <t>OPERATING</t>
        </is>
      </c>
    </row>
    <row r="25470">
      <c r="A25470" s="8" t="inlineStr">
        <is>
          <t>2026-08-05</t>
        </is>
      </c>
      <c r="B25470" s="8" t="n">
        <v>15</v>
      </c>
      <c r="C25470" s="8" t="n">
        <v>45</v>
      </c>
      <c r="D25470" s="8" t="inlineStr">
        <is>
          <t>Disney Adventure World</t>
        </is>
      </c>
      <c r="E25470" s="8" t="inlineStr">
        <is>
          <t>Cars ROAD TRIP</t>
        </is>
      </c>
      <c r="F25470" s="8" t="inlineStr">
        <is>
          <t>STANDBY</t>
        </is>
      </c>
      <c r="G25470" s="8" t="n">
        <v>20</v>
      </c>
      <c r="H25470" s="8" t="inlineStr">
        <is>
          <t>OPERATING</t>
        </is>
      </c>
    </row>
    <row r="25471">
      <c r="A25471" s="8" t="inlineStr">
        <is>
          <t>2026-08-05</t>
        </is>
      </c>
      <c r="B25471" s="8" t="n">
        <v>15</v>
      </c>
      <c r="C25471" s="8" t="n">
        <v>45</v>
      </c>
      <c r="D25471" s="8" t="inlineStr">
        <is>
          <t>Disney Adventure World</t>
        </is>
      </c>
      <c r="E25471" s="8" t="inlineStr">
        <is>
          <t>Crush's Coaster</t>
        </is>
      </c>
      <c r="F25471" s="8" t="inlineStr">
        <is>
          <t>STANDBY</t>
        </is>
      </c>
      <c r="G25471" s="8" t="n">
        <v>80</v>
      </c>
      <c r="H25471" s="8" t="inlineStr">
        <is>
          <t>OPERATING</t>
        </is>
      </c>
    </row>
    <row r="25472">
      <c r="A25472" s="8" t="inlineStr">
        <is>
          <t>2026-08-05</t>
        </is>
      </c>
      <c r="B25472" s="8" t="n">
        <v>15</v>
      </c>
      <c r="C25472" s="8" t="n">
        <v>45</v>
      </c>
      <c r="D25472" s="8" t="inlineStr">
        <is>
          <t>Disney Adventure World</t>
        </is>
      </c>
      <c r="E25472" s="8" t="inlineStr">
        <is>
          <t>Crush's Coaster Single Rider</t>
        </is>
      </c>
      <c r="F25472" s="8" t="inlineStr">
        <is>
          <t>STANDBY</t>
        </is>
      </c>
      <c r="G25472" s="8" t="n">
        <v>45</v>
      </c>
      <c r="H25472" s="8" t="inlineStr">
        <is>
          <t>OPERATING</t>
        </is>
      </c>
    </row>
    <row r="25473">
      <c r="A25473" s="8" t="inlineStr">
        <is>
          <t>2026-08-05</t>
        </is>
      </c>
      <c r="B25473" s="8" t="n">
        <v>15</v>
      </c>
      <c r="C25473" s="8" t="n">
        <v>45</v>
      </c>
      <c r="D25473" s="8" t="inlineStr">
        <is>
          <t>Disney Adventure World</t>
        </is>
      </c>
      <c r="E25473" s="8" t="inlineStr">
        <is>
          <t>Les Tapis Volants - Flying Carpets Over Agrabah®</t>
        </is>
      </c>
      <c r="F25473" s="8" t="inlineStr">
        <is>
          <t>STANDBY</t>
        </is>
      </c>
      <c r="G25473" s="8" t="n">
        <v>15</v>
      </c>
      <c r="H25473" s="8" t="inlineStr">
        <is>
          <t>OPERATING</t>
        </is>
      </c>
    </row>
    <row r="25474">
      <c r="A25474" s="8" t="inlineStr">
        <is>
          <t>2026-08-05</t>
        </is>
      </c>
      <c r="B25474" s="8" t="n">
        <v>15</v>
      </c>
      <c r="C25474" s="8" t="n">
        <v>45</v>
      </c>
      <c r="D25474" s="8" t="inlineStr">
        <is>
          <t>Disney Adventure World</t>
        </is>
      </c>
      <c r="E25474" s="8" t="inlineStr">
        <is>
          <t>Ratatouille : L’Aventure Totalement Toquée de Rémy​</t>
        </is>
      </c>
      <c r="F25474" s="8" t="inlineStr">
        <is>
          <t>STANDBY</t>
        </is>
      </c>
      <c r="G25474" s="8" t="n">
        <v>60</v>
      </c>
      <c r="H25474" s="8" t="inlineStr">
        <is>
          <t>OPERATING</t>
        </is>
      </c>
    </row>
    <row r="25475">
      <c r="A25475" s="8" t="inlineStr">
        <is>
          <t>2026-08-05</t>
        </is>
      </c>
      <c r="B25475" s="8" t="n">
        <v>15</v>
      </c>
      <c r="C25475" s="8" t="n">
        <v>45</v>
      </c>
      <c r="D25475" s="8" t="inlineStr">
        <is>
          <t>Disney Adventure World</t>
        </is>
      </c>
      <c r="E25475" s="8" t="inlineStr">
        <is>
          <t>Ratatouille: The Adventure Single Rider</t>
        </is>
      </c>
      <c r="F25475" s="8" t="inlineStr">
        <is>
          <t>STANDBY</t>
        </is>
      </c>
      <c r="G25475" s="8" t="n">
        <v>30</v>
      </c>
      <c r="H25475" s="8" t="inlineStr">
        <is>
          <t>OPERATING</t>
        </is>
      </c>
    </row>
    <row r="25476">
      <c r="A25476" s="8" t="inlineStr">
        <is>
          <t>2026-08-05</t>
        </is>
      </c>
      <c r="B25476" s="8" t="n">
        <v>15</v>
      </c>
      <c r="C25476" s="8" t="n">
        <v>45</v>
      </c>
      <c r="D25476" s="8" t="inlineStr">
        <is>
          <t>Disney Adventure World</t>
        </is>
      </c>
      <c r="E25476" s="8" t="inlineStr">
        <is>
          <t>RC Racer</t>
        </is>
      </c>
      <c r="F25476" s="8" t="inlineStr">
        <is>
          <t>STANDBY</t>
        </is>
      </c>
      <c r="G25476" s="8" t="n">
        <v>50</v>
      </c>
      <c r="H25476" s="8" t="inlineStr">
        <is>
          <t>OPERATING</t>
        </is>
      </c>
    </row>
    <row r="25477">
      <c r="A25477" s="8" t="inlineStr">
        <is>
          <t>2026-08-05</t>
        </is>
      </c>
      <c r="B25477" s="8" t="n">
        <v>15</v>
      </c>
      <c r="C25477" s="8" t="n">
        <v>45</v>
      </c>
      <c r="D25477" s="8" t="inlineStr">
        <is>
          <t>Disney Adventure World</t>
        </is>
      </c>
      <c r="E25477" s="8" t="inlineStr">
        <is>
          <t>RC Racer Single Rider</t>
        </is>
      </c>
      <c r="F25477" s="8" t="inlineStr">
        <is>
          <t>STANDBY</t>
        </is>
      </c>
      <c r="G25477" s="8" t="n">
        <v>45</v>
      </c>
      <c r="H25477" s="8" t="inlineStr">
        <is>
          <t>OPERATING</t>
        </is>
      </c>
    </row>
    <row r="25478">
      <c r="A25478" s="8" t="inlineStr">
        <is>
          <t>2026-08-05</t>
        </is>
      </c>
      <c r="B25478" s="8" t="n">
        <v>15</v>
      </c>
      <c r="C25478" s="8" t="n">
        <v>45</v>
      </c>
      <c r="D25478" s="8" t="inlineStr">
        <is>
          <t>Disney Adventure World</t>
        </is>
      </c>
      <c r="E25478" s="8" t="inlineStr">
        <is>
          <t>Slinky® Dog Zigzag Spin</t>
        </is>
      </c>
      <c r="F25478" s="8" t="inlineStr">
        <is>
          <t>STANDBY</t>
        </is>
      </c>
      <c r="G25478" s="8" t="n">
        <v>15</v>
      </c>
      <c r="H25478" s="8" t="inlineStr">
        <is>
          <t>OPERATING</t>
        </is>
      </c>
    </row>
    <row r="25479">
      <c r="A25479" s="8" t="inlineStr">
        <is>
          <t>2026-08-05</t>
        </is>
      </c>
      <c r="B25479" s="8" t="n">
        <v>15</v>
      </c>
      <c r="C25479" s="8" t="n">
        <v>45</v>
      </c>
      <c r="D25479" s="8" t="inlineStr">
        <is>
          <t>Disney Adventure World</t>
        </is>
      </c>
      <c r="E25479" s="8" t="inlineStr">
        <is>
          <t>Toy Soldiers Parachute Drop</t>
        </is>
      </c>
      <c r="F25479" s="8" t="inlineStr">
        <is>
          <t>STANDBY</t>
        </is>
      </c>
      <c r="G25479" s="8" t="n">
        <v>50</v>
      </c>
      <c r="H25479" s="8" t="inlineStr">
        <is>
          <t>OPERATING</t>
        </is>
      </c>
    </row>
    <row r="25480">
      <c r="A25480" s="8" t="inlineStr">
        <is>
          <t>2026-08-05</t>
        </is>
      </c>
      <c r="B25480" s="8" t="n">
        <v>15</v>
      </c>
      <c r="C25480" s="8" t="n">
        <v>45</v>
      </c>
      <c r="D25480" s="8" t="inlineStr">
        <is>
          <t>Disney Adventure World</t>
        </is>
      </c>
      <c r="E25480" s="8" t="inlineStr">
        <is>
          <t>Toy Soldiers Parachute Drop Single Rider</t>
        </is>
      </c>
      <c r="F25480" s="8" t="inlineStr">
        <is>
          <t>STANDBY</t>
        </is>
      </c>
      <c r="G25480" s="8" t="n">
        <v>20</v>
      </c>
      <c r="H25480" s="8" t="inlineStr">
        <is>
          <t>OPERATING</t>
        </is>
      </c>
    </row>
    <row r="25481">
      <c r="A25481" s="8" t="inlineStr">
        <is>
          <t>2026-08-05</t>
        </is>
      </c>
      <c r="B25481" s="8" t="n">
        <v>15</v>
      </c>
      <c r="C25481" s="8" t="n">
        <v>45</v>
      </c>
      <c r="D25481" s="8" t="inlineStr">
        <is>
          <t>Disney Adventure World</t>
        </is>
      </c>
      <c r="E25481" s="8" t="inlineStr">
        <is>
          <t>Entry to World of Frozen</t>
        </is>
      </c>
      <c r="F25481" s="8" t="inlineStr">
        <is>
          <t>STANDBY</t>
        </is>
      </c>
      <c r="G25481" s="8" t="n">
        <v>0</v>
      </c>
      <c r="H25481" s="8" t="inlineStr">
        <is>
          <t>OPERATING</t>
        </is>
      </c>
    </row>
    <row r="25482">
      <c r="A25482" s="8" t="inlineStr">
        <is>
          <t>2026-08-05</t>
        </is>
      </c>
      <c r="B25482" s="8" t="n">
        <v>15</v>
      </c>
      <c r="C25482" s="8" t="n">
        <v>45</v>
      </c>
      <c r="D25482" s="8" t="inlineStr">
        <is>
          <t>Disney Adventure World</t>
        </is>
      </c>
      <c r="E25482" s="8" t="inlineStr">
        <is>
          <t>Frozen Ever After</t>
        </is>
      </c>
      <c r="F25482" s="8" t="inlineStr">
        <is>
          <t>STANDBY</t>
        </is>
      </c>
      <c r="G25482" s="8" t="n">
        <v>55</v>
      </c>
      <c r="H25482" s="8" t="inlineStr">
        <is>
          <t>OPERATING</t>
        </is>
      </c>
    </row>
    <row r="25483">
      <c r="A25483" s="8" t="inlineStr">
        <is>
          <t>2026-08-05</t>
        </is>
      </c>
      <c r="B25483" s="8" t="n">
        <v>15</v>
      </c>
      <c r="C25483" s="8" t="n">
        <v>45</v>
      </c>
      <c r="D25483" s="8" t="inlineStr">
        <is>
          <t>Disney Adventure World</t>
        </is>
      </c>
      <c r="E25483" s="8" t="inlineStr">
        <is>
          <t>Raiponce Tangled Spin</t>
        </is>
      </c>
      <c r="F25483" s="8" t="inlineStr">
        <is>
          <t>STANDBY</t>
        </is>
      </c>
      <c r="G25483" s="8" t="n">
        <v>10</v>
      </c>
      <c r="H25483" s="8" t="inlineStr">
        <is>
          <t>OPERATING</t>
        </is>
      </c>
    </row>
    <row r="25484">
      <c r="A25484" s="8" t="inlineStr">
        <is>
          <t>2026-08-05</t>
        </is>
      </c>
      <c r="B25484" s="8" t="n">
        <v>16</v>
      </c>
      <c r="C25484" s="8" t="n">
        <v>1</v>
      </c>
      <c r="D25484" s="8" t="inlineStr">
        <is>
          <t>Disneyland Park</t>
        </is>
      </c>
      <c r="E25484" s="8" t="inlineStr">
        <is>
          <t>Adventure Isle</t>
        </is>
      </c>
      <c r="F25484" s="8" t="inlineStr">
        <is>
          <t>STANDBY</t>
        </is>
      </c>
      <c r="G25484" s="8" t="n">
        <v>0</v>
      </c>
      <c r="H25484" s="8" t="inlineStr">
        <is>
          <t>OPERATING</t>
        </is>
      </c>
    </row>
    <row r="25485">
      <c r="A25485" s="8" t="inlineStr">
        <is>
          <t>2026-08-05</t>
        </is>
      </c>
      <c r="B25485" s="8" t="n">
        <v>16</v>
      </c>
      <c r="C25485" s="8" t="n">
        <v>1</v>
      </c>
      <c r="D25485" s="8" t="inlineStr">
        <is>
          <t>Disneyland Park</t>
        </is>
      </c>
      <c r="E25485" s="8" t="inlineStr">
        <is>
          <t>Indiana Jones and the Temple of Peril Single Rider</t>
        </is>
      </c>
      <c r="F25485" s="8" t="inlineStr">
        <is>
          <t>STANDBY</t>
        </is>
      </c>
      <c r="G25485" s="8" t="n">
        <v>20</v>
      </c>
      <c r="H25485" s="8" t="inlineStr">
        <is>
          <t>OPERATING</t>
        </is>
      </c>
    </row>
    <row r="25486">
      <c r="A25486" s="8" t="inlineStr">
        <is>
          <t>2026-08-05</t>
        </is>
      </c>
      <c r="B25486" s="8" t="n">
        <v>16</v>
      </c>
      <c r="C25486" s="8" t="n">
        <v>1</v>
      </c>
      <c r="D25486" s="8" t="inlineStr">
        <is>
          <t>Disneyland Park</t>
        </is>
      </c>
      <c r="E25486" s="8" t="inlineStr">
        <is>
          <t>Indiana Jones™ and the Temple of Peril</t>
        </is>
      </c>
      <c r="F25486" s="8" t="inlineStr">
        <is>
          <t>STANDBY</t>
        </is>
      </c>
      <c r="G25486" s="8" t="n">
        <v>30</v>
      </c>
      <c r="H25486" s="8" t="inlineStr">
        <is>
          <t>OPERATING</t>
        </is>
      </c>
    </row>
    <row r="25487">
      <c r="A25487" s="8" t="inlineStr">
        <is>
          <t>2026-08-05</t>
        </is>
      </c>
      <c r="B25487" s="8" t="n">
        <v>16</v>
      </c>
      <c r="C25487" s="8" t="n">
        <v>1</v>
      </c>
      <c r="D25487" s="8" t="inlineStr">
        <is>
          <t>Disneyland Park</t>
        </is>
      </c>
      <c r="E25487" s="8" t="inlineStr">
        <is>
          <t>La Cabane des Robinson</t>
        </is>
      </c>
      <c r="F25487" s="8" t="inlineStr">
        <is>
          <t>STANDBY</t>
        </is>
      </c>
      <c r="G25487" s="8" t="n">
        <v>5</v>
      </c>
      <c r="H25487" s="8" t="inlineStr">
        <is>
          <t>OPERATING</t>
        </is>
      </c>
    </row>
    <row r="25488">
      <c r="A25488" s="8" t="inlineStr">
        <is>
          <t>2026-08-05</t>
        </is>
      </c>
      <c r="B25488" s="8" t="n">
        <v>16</v>
      </c>
      <c r="C25488" s="8" t="n">
        <v>1</v>
      </c>
      <c r="D25488" s="8" t="inlineStr">
        <is>
          <t>Disneyland Park</t>
        </is>
      </c>
      <c r="E25488" s="8" t="inlineStr">
        <is>
          <t>Le Passage Enchanté d'Aladdin</t>
        </is>
      </c>
      <c r="F25488" s="8" t="inlineStr">
        <is>
          <t>STANDBY</t>
        </is>
      </c>
      <c r="G25488" s="8" t="n">
        <v>0</v>
      </c>
      <c r="H25488" s="8" t="inlineStr">
        <is>
          <t>OPERATING</t>
        </is>
      </c>
    </row>
    <row r="25489">
      <c r="A25489" s="8" t="inlineStr">
        <is>
          <t>2026-08-05</t>
        </is>
      </c>
      <c r="B25489" s="8" t="n">
        <v>16</v>
      </c>
      <c r="C25489" s="8" t="n">
        <v>1</v>
      </c>
      <c r="D25489" s="8" t="inlineStr">
        <is>
          <t>Disneyland Park</t>
        </is>
      </c>
      <c r="E25489" s="8" t="inlineStr">
        <is>
          <t>Pirate Galleon</t>
        </is>
      </c>
      <c r="F25489" s="8" t="inlineStr">
        <is>
          <t>STANDBY</t>
        </is>
      </c>
      <c r="G25489" s="8" t="n">
        <v>0</v>
      </c>
      <c r="H25489" s="8" t="inlineStr">
        <is>
          <t>CLOSED</t>
        </is>
      </c>
    </row>
    <row r="25490">
      <c r="A25490" s="8" t="inlineStr">
        <is>
          <t>2026-08-05</t>
        </is>
      </c>
      <c r="B25490" s="8" t="n">
        <v>16</v>
      </c>
      <c r="C25490" s="8" t="n">
        <v>1</v>
      </c>
      <c r="D25490" s="8" t="inlineStr">
        <is>
          <t>Disneyland Park</t>
        </is>
      </c>
      <c r="E25490" s="8" t="inlineStr">
        <is>
          <t>Pirates of the Caribbean</t>
        </is>
      </c>
      <c r="F25490" s="8" t="inlineStr">
        <is>
          <t>STANDBY</t>
        </is>
      </c>
      <c r="G25490" s="8" t="n">
        <v>25</v>
      </c>
      <c r="H25490" s="8" t="inlineStr">
        <is>
          <t>OPERATING</t>
        </is>
      </c>
    </row>
    <row r="25491">
      <c r="A25491" s="8" t="inlineStr">
        <is>
          <t>2026-08-05</t>
        </is>
      </c>
      <c r="B25491" s="8" t="n">
        <v>16</v>
      </c>
      <c r="C25491" s="8" t="n">
        <v>1</v>
      </c>
      <c r="D25491" s="8" t="inlineStr">
        <is>
          <t>Disneyland Park</t>
        </is>
      </c>
      <c r="E25491" s="8" t="inlineStr">
        <is>
          <t>Pirates' Beach</t>
        </is>
      </c>
      <c r="F25491" s="8" t="inlineStr">
        <is>
          <t>STANDBY</t>
        </is>
      </c>
      <c r="G25491" s="8" t="n">
        <v>0</v>
      </c>
      <c r="H25491" s="8" t="inlineStr">
        <is>
          <t>OPERATING</t>
        </is>
      </c>
    </row>
    <row r="25492">
      <c r="A25492" s="8" t="inlineStr">
        <is>
          <t>2026-08-05</t>
        </is>
      </c>
      <c r="B25492" s="8" t="n">
        <v>16</v>
      </c>
      <c r="C25492" s="8" t="n">
        <v>1</v>
      </c>
      <c r="D25492" s="8" t="inlineStr">
        <is>
          <t>Disneyland Park</t>
        </is>
      </c>
      <c r="E25492" s="8" t="inlineStr">
        <is>
          <t>Autopia, presented by Avis</t>
        </is>
      </c>
      <c r="F25492" s="8" t="inlineStr">
        <is>
          <t>STANDBY</t>
        </is>
      </c>
      <c r="G25492" s="8" t="n">
        <v>40</v>
      </c>
      <c r="H25492" s="8" t="inlineStr">
        <is>
          <t>OPERATING</t>
        </is>
      </c>
    </row>
    <row r="25493">
      <c r="A25493" s="8" t="inlineStr">
        <is>
          <t>2026-08-05</t>
        </is>
      </c>
      <c r="B25493" s="8" t="n">
        <v>16</v>
      </c>
      <c r="C25493" s="8" t="n">
        <v>1</v>
      </c>
      <c r="D25493" s="8" t="inlineStr">
        <is>
          <t>Disneyland Park</t>
        </is>
      </c>
      <c r="E25493" s="8" t="inlineStr">
        <is>
          <t>Buzz Lightyear Laser Blast</t>
        </is>
      </c>
      <c r="F25493" s="8" t="inlineStr">
        <is>
          <t>STANDBY</t>
        </is>
      </c>
      <c r="G25493" s="8" t="n">
        <v>45</v>
      </c>
      <c r="H25493" s="8" t="inlineStr">
        <is>
          <t>OPERATING</t>
        </is>
      </c>
    </row>
    <row r="25494">
      <c r="A25494" s="8" t="inlineStr">
        <is>
          <t>2026-08-05</t>
        </is>
      </c>
      <c r="B25494" s="8" t="n">
        <v>16</v>
      </c>
      <c r="C25494" s="8" t="n">
        <v>1</v>
      </c>
      <c r="D25494" s="8" t="inlineStr">
        <is>
          <t>Disneyland Park</t>
        </is>
      </c>
      <c r="E25494" s="8" t="inlineStr">
        <is>
          <t>Disneyland Railroad Discoveryland Station</t>
        </is>
      </c>
      <c r="F25494" s="8" t="inlineStr">
        <is>
          <t>STANDBY</t>
        </is>
      </c>
      <c r="G25494" s="8" t="n">
        <v>0</v>
      </c>
      <c r="H25494" s="8" t="inlineStr">
        <is>
          <t>CLOSED</t>
        </is>
      </c>
    </row>
    <row r="25495">
      <c r="A25495" s="8" t="inlineStr">
        <is>
          <t>2026-08-05</t>
        </is>
      </c>
      <c r="B25495" s="8" t="n">
        <v>16</v>
      </c>
      <c r="C25495" s="8" t="n">
        <v>1</v>
      </c>
      <c r="D25495" s="8" t="inlineStr">
        <is>
          <t>Disneyland Park</t>
        </is>
      </c>
      <c r="E25495" s="8" t="inlineStr">
        <is>
          <t>Les Mystères du Nautilus</t>
        </is>
      </c>
      <c r="F25495" s="8" t="inlineStr">
        <is>
          <t>STANDBY</t>
        </is>
      </c>
      <c r="G25495" s="8" t="n">
        <v>5</v>
      </c>
      <c r="H25495" s="8" t="inlineStr">
        <is>
          <t>OPERATING</t>
        </is>
      </c>
    </row>
    <row r="25496">
      <c r="A25496" s="8" t="inlineStr">
        <is>
          <t>2026-08-05</t>
        </is>
      </c>
      <c r="B25496" s="8" t="n">
        <v>16</v>
      </c>
      <c r="C25496" s="8" t="n">
        <v>1</v>
      </c>
      <c r="D25496" s="8" t="inlineStr">
        <is>
          <t>Disneyland Park</t>
        </is>
      </c>
      <c r="E25496" s="8" t="inlineStr">
        <is>
          <t>Mickey’s PhilharMagic</t>
        </is>
      </c>
      <c r="F25496" s="8" t="inlineStr">
        <is>
          <t>STANDBY</t>
        </is>
      </c>
      <c r="G25496" s="8" t="n">
        <v>0</v>
      </c>
      <c r="H25496" s="8" t="inlineStr">
        <is>
          <t>OPERATING</t>
        </is>
      </c>
    </row>
    <row r="25497">
      <c r="A25497" s="8" t="inlineStr">
        <is>
          <t>2026-08-05</t>
        </is>
      </c>
      <c r="B25497" s="8" t="n">
        <v>16</v>
      </c>
      <c r="C25497" s="8" t="n">
        <v>1</v>
      </c>
      <c r="D25497" s="8" t="inlineStr">
        <is>
          <t>Disneyland Park</t>
        </is>
      </c>
      <c r="E25497" s="8" t="inlineStr">
        <is>
          <t>Orbitron®</t>
        </is>
      </c>
      <c r="F25497" s="8" t="inlineStr">
        <is>
          <t>STANDBY</t>
        </is>
      </c>
      <c r="G25497" s="8" t="n">
        <v>45</v>
      </c>
      <c r="H25497" s="8" t="inlineStr">
        <is>
          <t>OPERATING</t>
        </is>
      </c>
    </row>
    <row r="25498">
      <c r="A25498" s="8" t="inlineStr">
        <is>
          <t>2026-08-05</t>
        </is>
      </c>
      <c r="B25498" s="8" t="n">
        <v>16</v>
      </c>
      <c r="C25498" s="8" t="n">
        <v>1</v>
      </c>
      <c r="D25498" s="8" t="inlineStr">
        <is>
          <t>Disneyland Park</t>
        </is>
      </c>
      <c r="E25498" s="8" t="inlineStr">
        <is>
          <t>Star Tours: The Adventures Continue*</t>
        </is>
      </c>
      <c r="F25498" s="8" t="inlineStr">
        <is>
          <t>STANDBY</t>
        </is>
      </c>
      <c r="G25498" s="8" t="n">
        <v>10</v>
      </c>
      <c r="H25498" s="8" t="inlineStr">
        <is>
          <t>OPERATING</t>
        </is>
      </c>
    </row>
    <row r="25499">
      <c r="A25499" s="8" t="inlineStr">
        <is>
          <t>2026-08-05</t>
        </is>
      </c>
      <c r="B25499" s="8" t="n">
        <v>16</v>
      </c>
      <c r="C25499" s="8" t="n">
        <v>1</v>
      </c>
      <c r="D25499" s="8" t="inlineStr">
        <is>
          <t>Disneyland Park</t>
        </is>
      </c>
      <c r="E25499" s="8" t="inlineStr">
        <is>
          <t>Star Wars Hyperspace Mountain</t>
        </is>
      </c>
      <c r="F25499" s="8" t="inlineStr">
        <is>
          <t>STANDBY</t>
        </is>
      </c>
      <c r="G25499" s="8" t="n">
        <v>45</v>
      </c>
      <c r="H25499" s="8" t="inlineStr">
        <is>
          <t>OPERATING</t>
        </is>
      </c>
    </row>
    <row r="25500">
      <c r="A25500" s="8" t="inlineStr">
        <is>
          <t>2026-08-05</t>
        </is>
      </c>
      <c r="B25500" s="8" t="n">
        <v>16</v>
      </c>
      <c r="C25500" s="8" t="n">
        <v>1</v>
      </c>
      <c r="D25500" s="8" t="inlineStr">
        <is>
          <t>Disneyland Park</t>
        </is>
      </c>
      <c r="E25500" s="8" t="inlineStr">
        <is>
          <t>Star Wars Hyperspace Mountain Single Rider</t>
        </is>
      </c>
      <c r="F25500" s="8" t="inlineStr">
        <is>
          <t>STANDBY</t>
        </is>
      </c>
      <c r="G25500" s="8" t="n">
        <v>25</v>
      </c>
      <c r="H25500" s="8" t="inlineStr">
        <is>
          <t>OPERATING</t>
        </is>
      </c>
    </row>
    <row r="25501">
      <c r="A25501" s="8" t="inlineStr">
        <is>
          <t>2026-08-05</t>
        </is>
      </c>
      <c r="B25501" s="8" t="n">
        <v>16</v>
      </c>
      <c r="C25501" s="8" t="n">
        <v>1</v>
      </c>
      <c r="D25501" s="8" t="inlineStr">
        <is>
          <t>Disneyland Park</t>
        </is>
      </c>
      <c r="E25501" s="8" t="inlineStr">
        <is>
          <t>Welcome to Starport: A Star Wars Encounter</t>
        </is>
      </c>
      <c r="F25501" s="8" t="inlineStr">
        <is>
          <t>STANDBY</t>
        </is>
      </c>
      <c r="G25501" s="8" t="n">
        <v>20</v>
      </c>
      <c r="H25501" s="8" t="inlineStr">
        <is>
          <t>OPERATING</t>
        </is>
      </c>
    </row>
    <row r="25502">
      <c r="A25502" s="8" t="inlineStr">
        <is>
          <t>2026-08-05</t>
        </is>
      </c>
      <c r="B25502" s="8" t="n">
        <v>16</v>
      </c>
      <c r="C25502" s="8" t="n">
        <v>1</v>
      </c>
      <c r="D25502" s="8" t="inlineStr">
        <is>
          <t>Disneyland Park</t>
        </is>
      </c>
      <c r="E25502" s="8" t="inlineStr">
        <is>
          <t>"it's a small world"</t>
        </is>
      </c>
      <c r="F25502" s="8" t="inlineStr">
        <is>
          <t>STANDBY</t>
        </is>
      </c>
      <c r="G25502" s="8" t="n">
        <v>10</v>
      </c>
      <c r="H25502" s="8" t="inlineStr">
        <is>
          <t>OPERATING</t>
        </is>
      </c>
    </row>
    <row r="25503">
      <c r="A25503" s="8" t="inlineStr">
        <is>
          <t>2026-08-05</t>
        </is>
      </c>
      <c r="B25503" s="8" t="n">
        <v>16</v>
      </c>
      <c r="C25503" s="8" t="n">
        <v>1</v>
      </c>
      <c r="D25503" s="8" t="inlineStr">
        <is>
          <t>Disneyland Park</t>
        </is>
      </c>
      <c r="E25503" s="8" t="inlineStr">
        <is>
          <t>Alice's Curious Labyrinth</t>
        </is>
      </c>
      <c r="F25503" s="8" t="inlineStr">
        <is>
          <t>STANDBY</t>
        </is>
      </c>
      <c r="G25503" s="8" t="n">
        <v>5</v>
      </c>
      <c r="H25503" s="8" t="inlineStr">
        <is>
          <t>OPERATING</t>
        </is>
      </c>
    </row>
    <row r="25504">
      <c r="A25504" s="8" t="inlineStr">
        <is>
          <t>2026-08-05</t>
        </is>
      </c>
      <c r="B25504" s="8" t="n">
        <v>16</v>
      </c>
      <c r="C25504" s="8" t="n">
        <v>1</v>
      </c>
      <c r="D25504" s="8" t="inlineStr">
        <is>
          <t>Disneyland Park</t>
        </is>
      </c>
      <c r="E25504" s="8" t="inlineStr">
        <is>
          <t>Blanche-Neige et les Sept Nains®</t>
        </is>
      </c>
      <c r="F25504" s="8" t="inlineStr">
        <is>
          <t>STANDBY</t>
        </is>
      </c>
      <c r="G25504" s="8" t="n">
        <v>15</v>
      </c>
      <c r="H25504" s="8" t="inlineStr">
        <is>
          <t>OPERATING</t>
        </is>
      </c>
    </row>
    <row r="25505">
      <c r="A25505" s="8" t="inlineStr">
        <is>
          <t>2026-08-05</t>
        </is>
      </c>
      <c r="B25505" s="8" t="n">
        <v>16</v>
      </c>
      <c r="C25505" s="8" t="n">
        <v>1</v>
      </c>
      <c r="D25505" s="8" t="inlineStr">
        <is>
          <t>Disneyland Park</t>
        </is>
      </c>
      <c r="E25505" s="8" t="inlineStr">
        <is>
          <t>Casey Jr. – le Petit Train du Cirque</t>
        </is>
      </c>
      <c r="F25505" s="8" t="inlineStr">
        <is>
          <t>STANDBY</t>
        </is>
      </c>
      <c r="G25505" s="8" t="n">
        <v>0</v>
      </c>
      <c r="H25505" s="8" t="inlineStr">
        <is>
          <t>CLOSED</t>
        </is>
      </c>
    </row>
    <row r="25506">
      <c r="A25506" s="8" t="inlineStr">
        <is>
          <t>2026-08-05</t>
        </is>
      </c>
      <c r="B25506" s="8" t="n">
        <v>16</v>
      </c>
      <c r="C25506" s="8" t="n">
        <v>1</v>
      </c>
      <c r="D25506" s="8" t="inlineStr">
        <is>
          <t>Disneyland Park</t>
        </is>
      </c>
      <c r="E25506" s="8" t="inlineStr">
        <is>
          <t>Disneyland Railroad Fantasyland Station</t>
        </is>
      </c>
      <c r="F25506" s="8" t="inlineStr">
        <is>
          <t>STANDBY</t>
        </is>
      </c>
      <c r="G25506" s="8" t="n">
        <v>0</v>
      </c>
      <c r="H25506" s="8" t="inlineStr">
        <is>
          <t>CLOSED</t>
        </is>
      </c>
    </row>
    <row r="25507">
      <c r="A25507" s="8" t="inlineStr">
        <is>
          <t>2026-08-05</t>
        </is>
      </c>
      <c r="B25507" s="8" t="n">
        <v>16</v>
      </c>
      <c r="C25507" s="8" t="n">
        <v>1</v>
      </c>
      <c r="D25507" s="8" t="inlineStr">
        <is>
          <t>Disneyland Park</t>
        </is>
      </c>
      <c r="E25507" s="8" t="inlineStr">
        <is>
          <t>Disneyland Railroad Main Street Station</t>
        </is>
      </c>
      <c r="F25507" s="8" t="inlineStr">
        <is>
          <t>STANDBY</t>
        </is>
      </c>
      <c r="G25507" s="8" t="n">
        <v>20</v>
      </c>
      <c r="H25507" s="8" t="inlineStr">
        <is>
          <t>OPERATING</t>
        </is>
      </c>
    </row>
    <row r="25508">
      <c r="A25508" s="8" t="inlineStr">
        <is>
          <t>2026-08-05</t>
        </is>
      </c>
      <c r="B25508" s="8" t="n">
        <v>16</v>
      </c>
      <c r="C25508" s="8" t="n">
        <v>1</v>
      </c>
      <c r="D25508" s="8" t="inlineStr">
        <is>
          <t>Disneyland Park</t>
        </is>
      </c>
      <c r="E25508" s="8" t="inlineStr">
        <is>
          <t>Dumbo the Flying Elephant</t>
        </is>
      </c>
      <c r="F25508" s="8" t="inlineStr">
        <is>
          <t>STANDBY</t>
        </is>
      </c>
      <c r="G25508" s="8" t="n">
        <v>35</v>
      </c>
      <c r="H25508" s="8" t="inlineStr">
        <is>
          <t>OPERATING</t>
        </is>
      </c>
    </row>
    <row r="25509">
      <c r="A25509" s="8" t="inlineStr">
        <is>
          <t>2026-08-05</t>
        </is>
      </c>
      <c r="B25509" s="8" t="n">
        <v>16</v>
      </c>
      <c r="C25509" s="8" t="n">
        <v>1</v>
      </c>
      <c r="D25509" s="8" t="inlineStr">
        <is>
          <t>Disneyland Park</t>
        </is>
      </c>
      <c r="E25509" s="8" t="inlineStr">
        <is>
          <t>La Tanière du Dragon</t>
        </is>
      </c>
      <c r="F25509" s="8" t="inlineStr">
        <is>
          <t>STANDBY</t>
        </is>
      </c>
      <c r="G25509" s="8" t="n">
        <v>0</v>
      </c>
      <c r="H25509" s="8" t="inlineStr">
        <is>
          <t>OPERATING</t>
        </is>
      </c>
    </row>
    <row r="25510">
      <c r="A25510" s="8" t="inlineStr">
        <is>
          <t>2026-08-05</t>
        </is>
      </c>
      <c r="B25510" s="8" t="n">
        <v>16</v>
      </c>
      <c r="C25510" s="8" t="n">
        <v>1</v>
      </c>
      <c r="D25510" s="8" t="inlineStr">
        <is>
          <t>Disneyland Park</t>
        </is>
      </c>
      <c r="E25510" s="8" t="inlineStr">
        <is>
          <t>Le Carrousel de Lancelot</t>
        </is>
      </c>
      <c r="F25510" s="8" t="inlineStr">
        <is>
          <t>STANDBY</t>
        </is>
      </c>
      <c r="G25510" s="8" t="n">
        <v>15</v>
      </c>
      <c r="H25510" s="8" t="inlineStr">
        <is>
          <t>OPERATING</t>
        </is>
      </c>
    </row>
    <row r="25511">
      <c r="A25511" s="8" t="inlineStr">
        <is>
          <t>2026-08-05</t>
        </is>
      </c>
      <c r="B25511" s="8" t="n">
        <v>16</v>
      </c>
      <c r="C25511" s="8" t="n">
        <v>1</v>
      </c>
      <c r="D25511" s="8" t="inlineStr">
        <is>
          <t>Disneyland Park</t>
        </is>
      </c>
      <c r="E25511" s="8" t="inlineStr">
        <is>
          <t>Le Pays des Contes de Fées, presented by Vittel</t>
        </is>
      </c>
      <c r="F25511" s="8" t="inlineStr">
        <is>
          <t>STANDBY</t>
        </is>
      </c>
      <c r="G25511" s="8" t="n">
        <v>5</v>
      </c>
      <c r="H25511" s="8" t="inlineStr">
        <is>
          <t>OPERATING</t>
        </is>
      </c>
    </row>
    <row r="25512">
      <c r="A25512" s="8" t="inlineStr">
        <is>
          <t>2026-08-05</t>
        </is>
      </c>
      <c r="B25512" s="8" t="n">
        <v>16</v>
      </c>
      <c r="C25512" s="8" t="n">
        <v>1</v>
      </c>
      <c r="D25512" s="8" t="inlineStr">
        <is>
          <t>Disneyland Park</t>
        </is>
      </c>
      <c r="E25512" s="8" t="inlineStr">
        <is>
          <t>Les Voyages de Pinocchio</t>
        </is>
      </c>
      <c r="F25512" s="8" t="inlineStr">
        <is>
          <t>STANDBY</t>
        </is>
      </c>
      <c r="G25512" s="8" t="n">
        <v>30</v>
      </c>
      <c r="H25512" s="8" t="inlineStr">
        <is>
          <t>OPERATING</t>
        </is>
      </c>
    </row>
    <row r="25513">
      <c r="A25513" s="8" t="inlineStr">
        <is>
          <t>2026-08-05</t>
        </is>
      </c>
      <c r="B25513" s="8" t="n">
        <v>16</v>
      </c>
      <c r="C25513" s="8" t="n">
        <v>1</v>
      </c>
      <c r="D25513" s="8" t="inlineStr">
        <is>
          <t>Disneyland Park</t>
        </is>
      </c>
      <c r="E25513" s="8" t="inlineStr">
        <is>
          <t>Mad Hatter's Tea Cups</t>
        </is>
      </c>
      <c r="F25513" s="8" t="inlineStr">
        <is>
          <t>STANDBY</t>
        </is>
      </c>
      <c r="G25513" s="8" t="n">
        <v>10</v>
      </c>
      <c r="H25513" s="8" t="inlineStr">
        <is>
          <t>OPERATING</t>
        </is>
      </c>
    </row>
    <row r="25514">
      <c r="A25514" s="8" t="inlineStr">
        <is>
          <t>2026-08-05</t>
        </is>
      </c>
      <c r="B25514" s="8" t="n">
        <v>16</v>
      </c>
      <c r="C25514" s="8" t="n">
        <v>1</v>
      </c>
      <c r="D25514" s="8" t="inlineStr">
        <is>
          <t>Disneyland Park</t>
        </is>
      </c>
      <c r="E25514" s="8" t="inlineStr">
        <is>
          <t>Meet Mickey Mouse</t>
        </is>
      </c>
      <c r="F25514" s="8" t="inlineStr">
        <is>
          <t>STANDBY</t>
        </is>
      </c>
      <c r="G25514" s="8" t="n">
        <v>0</v>
      </c>
      <c r="H25514" s="8" t="inlineStr">
        <is>
          <t>OPERATING</t>
        </is>
      </c>
    </row>
    <row r="25515">
      <c r="A25515" s="8" t="inlineStr">
        <is>
          <t>2026-08-05</t>
        </is>
      </c>
      <c r="B25515" s="8" t="n">
        <v>16</v>
      </c>
      <c r="C25515" s="8" t="n">
        <v>1</v>
      </c>
      <c r="D25515" s="8" t="inlineStr">
        <is>
          <t>Disneyland Park</t>
        </is>
      </c>
      <c r="E25515" s="8" t="inlineStr">
        <is>
          <t>Peter Pan's Flight</t>
        </is>
      </c>
      <c r="F25515" s="8" t="inlineStr">
        <is>
          <t>STANDBY</t>
        </is>
      </c>
      <c r="G25515" s="8" t="n">
        <v>60</v>
      </c>
      <c r="H25515" s="8" t="inlineStr">
        <is>
          <t>OPERATING</t>
        </is>
      </c>
    </row>
    <row r="25516">
      <c r="A25516" s="8" t="inlineStr">
        <is>
          <t>2026-08-05</t>
        </is>
      </c>
      <c r="B25516" s="8" t="n">
        <v>16</v>
      </c>
      <c r="C25516" s="8" t="n">
        <v>1</v>
      </c>
      <c r="D25516" s="8" t="inlineStr">
        <is>
          <t>Disneyland Park</t>
        </is>
      </c>
      <c r="E25516" s="8" t="inlineStr">
        <is>
          <t>Princess Pavilion</t>
        </is>
      </c>
      <c r="F25516" s="8" t="inlineStr">
        <is>
          <t>STANDBY</t>
        </is>
      </c>
      <c r="G25516" s="8" t="n">
        <v>0</v>
      </c>
      <c r="H25516" s="8" t="inlineStr">
        <is>
          <t>OPERATING</t>
        </is>
      </c>
    </row>
    <row r="25517">
      <c r="A25517" s="8" t="inlineStr">
        <is>
          <t>2026-08-05</t>
        </is>
      </c>
      <c r="B25517" s="8" t="n">
        <v>16</v>
      </c>
      <c r="C25517" s="8" t="n">
        <v>1</v>
      </c>
      <c r="D25517" s="8" t="inlineStr">
        <is>
          <t>Disneyland Park</t>
        </is>
      </c>
      <c r="E25517" s="8" t="inlineStr">
        <is>
          <t>Big Thunder Mountain</t>
        </is>
      </c>
      <c r="F25517" s="8" t="inlineStr">
        <is>
          <t>STANDBY</t>
        </is>
      </c>
      <c r="G25517" s="8" t="n">
        <v>60</v>
      </c>
      <c r="H25517" s="8" t="inlineStr">
        <is>
          <t>OPERATING</t>
        </is>
      </c>
    </row>
    <row r="25518">
      <c r="A25518" s="8" t="inlineStr">
        <is>
          <t>2026-08-05</t>
        </is>
      </c>
      <c r="B25518" s="8" t="n">
        <v>16</v>
      </c>
      <c r="C25518" s="8" t="n">
        <v>1</v>
      </c>
      <c r="D25518" s="8" t="inlineStr">
        <is>
          <t>Disneyland Park</t>
        </is>
      </c>
      <c r="E25518" s="8" t="inlineStr">
        <is>
          <t>Disneyland Railroad Frontierland Depot</t>
        </is>
      </c>
      <c r="F25518" s="8" t="inlineStr">
        <is>
          <t>STANDBY</t>
        </is>
      </c>
      <c r="G25518" s="8" t="n">
        <v>20</v>
      </c>
      <c r="H25518" s="8" t="inlineStr">
        <is>
          <t>OPERATING</t>
        </is>
      </c>
    </row>
    <row r="25519">
      <c r="A25519" s="8" t="inlineStr">
        <is>
          <t>2026-08-05</t>
        </is>
      </c>
      <c r="B25519" s="8" t="n">
        <v>16</v>
      </c>
      <c r="C25519" s="8" t="n">
        <v>1</v>
      </c>
      <c r="D25519" s="8" t="inlineStr">
        <is>
          <t>Disneyland Park</t>
        </is>
      </c>
      <c r="E25519" s="8" t="inlineStr">
        <is>
          <t>Frontierland Playground</t>
        </is>
      </c>
      <c r="F25519" s="8" t="inlineStr">
        <is>
          <t>STANDBY</t>
        </is>
      </c>
      <c r="G25519" s="8" t="n">
        <v>0</v>
      </c>
      <c r="H25519" s="8" t="inlineStr">
        <is>
          <t>OPERATING</t>
        </is>
      </c>
    </row>
    <row r="25520">
      <c r="A25520" s="8" t="inlineStr">
        <is>
          <t>2026-08-05</t>
        </is>
      </c>
      <c r="B25520" s="8" t="n">
        <v>16</v>
      </c>
      <c r="C25520" s="8" t="n">
        <v>1</v>
      </c>
      <c r="D25520" s="8" t="inlineStr">
        <is>
          <t>Disneyland Park</t>
        </is>
      </c>
      <c r="E25520" s="8" t="inlineStr">
        <is>
          <t>Phantom Manor</t>
        </is>
      </c>
      <c r="F25520" s="8" t="inlineStr">
        <is>
          <t>STANDBY</t>
        </is>
      </c>
      <c r="G25520" s="8" t="n">
        <v>30</v>
      </c>
      <c r="H25520" s="8" t="inlineStr">
        <is>
          <t>OPERATING</t>
        </is>
      </c>
    </row>
    <row r="25521">
      <c r="A25521" s="8" t="inlineStr">
        <is>
          <t>2026-08-05</t>
        </is>
      </c>
      <c r="B25521" s="8" t="n">
        <v>16</v>
      </c>
      <c r="C25521" s="8" t="n">
        <v>1</v>
      </c>
      <c r="D25521" s="8" t="inlineStr">
        <is>
          <t>Disneyland Park</t>
        </is>
      </c>
      <c r="E25521" s="8" t="inlineStr">
        <is>
          <t>River Rogue Keelboats</t>
        </is>
      </c>
      <c r="F25521" s="8" t="inlineStr">
        <is>
          <t>STANDBY</t>
        </is>
      </c>
      <c r="G25521" s="8" t="n">
        <v>0</v>
      </c>
      <c r="H25521" s="8" t="inlineStr">
        <is>
          <t>CLOSED</t>
        </is>
      </c>
    </row>
    <row r="25522">
      <c r="A25522" s="8" t="inlineStr">
        <is>
          <t>2026-08-05</t>
        </is>
      </c>
      <c r="B25522" s="8" t="n">
        <v>16</v>
      </c>
      <c r="C25522" s="8" t="n">
        <v>1</v>
      </c>
      <c r="D25522" s="8" t="inlineStr">
        <is>
          <t>Disneyland Park</t>
        </is>
      </c>
      <c r="E25522" s="8" t="inlineStr">
        <is>
          <t>Rustler Roundup Shootin' Gallery</t>
        </is>
      </c>
      <c r="F25522" s="8" t="inlineStr">
        <is>
          <t>STANDBY</t>
        </is>
      </c>
      <c r="G25522" s="8" t="n">
        <v>0</v>
      </c>
      <c r="H25522" s="8" t="inlineStr">
        <is>
          <t>OPERATING</t>
        </is>
      </c>
    </row>
    <row r="25523">
      <c r="A25523" s="8" t="inlineStr">
        <is>
          <t>2026-08-05</t>
        </is>
      </c>
      <c r="B25523" s="8" t="n">
        <v>16</v>
      </c>
      <c r="C25523" s="8" t="n">
        <v>1</v>
      </c>
      <c r="D25523" s="8" t="inlineStr">
        <is>
          <t>Disneyland Park</t>
        </is>
      </c>
      <c r="E25523" s="8" t="inlineStr">
        <is>
          <t>Thunder Mesa Riverboat Landing</t>
        </is>
      </c>
      <c r="F25523" s="8" t="inlineStr">
        <is>
          <t>STANDBY</t>
        </is>
      </c>
      <c r="G25523" s="8" t="n">
        <v>20</v>
      </c>
      <c r="H25523" s="8" t="inlineStr">
        <is>
          <t>OPERATING</t>
        </is>
      </c>
    </row>
    <row r="25524">
      <c r="A25524" s="8" t="inlineStr">
        <is>
          <t>2026-08-05</t>
        </is>
      </c>
      <c r="B25524" s="8" t="n">
        <v>16</v>
      </c>
      <c r="C25524" s="8" t="n">
        <v>1</v>
      </c>
      <c r="D25524" s="8" t="inlineStr">
        <is>
          <t>Disneyland Park</t>
        </is>
      </c>
      <c r="E25524" s="8" t="inlineStr">
        <is>
          <t>Disneyland Railroad Main Street Station</t>
        </is>
      </c>
      <c r="F25524" s="8" t="inlineStr">
        <is>
          <t>STANDBY</t>
        </is>
      </c>
      <c r="G25524" s="8" t="n">
        <v>0</v>
      </c>
      <c r="H25524" s="8" t="inlineStr">
        <is>
          <t>OPERATING</t>
        </is>
      </c>
    </row>
    <row r="25525">
      <c r="A25525" s="8" t="inlineStr">
        <is>
          <t>2026-08-05</t>
        </is>
      </c>
      <c r="B25525" s="8" t="n">
        <v>16</v>
      </c>
      <c r="C25525" s="8" t="n">
        <v>1</v>
      </c>
      <c r="D25525" s="8" t="inlineStr">
        <is>
          <t>Disneyland Park</t>
        </is>
      </c>
      <c r="E25525" s="8" t="inlineStr">
        <is>
          <t>Main Street Vehicles</t>
        </is>
      </c>
      <c r="F25525" s="8" t="inlineStr">
        <is>
          <t>STANDBY</t>
        </is>
      </c>
      <c r="G25525" s="8" t="n">
        <v>0</v>
      </c>
      <c r="H25525" s="8" t="inlineStr">
        <is>
          <t>CLOSED</t>
        </is>
      </c>
    </row>
    <row r="25526">
      <c r="A25526" s="8" t="inlineStr">
        <is>
          <t>2026-08-05</t>
        </is>
      </c>
      <c r="B25526" s="8" t="n">
        <v>16</v>
      </c>
      <c r="C25526" s="8" t="n">
        <v>1</v>
      </c>
      <c r="D25526" s="8" t="inlineStr">
        <is>
          <t>Disney Adventure World</t>
        </is>
      </c>
      <c r="E25526" s="8" t="inlineStr">
        <is>
          <t>Avengers Assemble: Flight Force</t>
        </is>
      </c>
      <c r="F25526" s="8" t="inlineStr">
        <is>
          <t>STANDBY</t>
        </is>
      </c>
      <c r="G25526" s="8" t="n">
        <v>25</v>
      </c>
      <c r="H25526" s="8" t="inlineStr">
        <is>
          <t>OPERATING</t>
        </is>
      </c>
    </row>
    <row r="25527">
      <c r="A25527" s="8" t="inlineStr">
        <is>
          <t>2026-08-05</t>
        </is>
      </c>
      <c r="B25527" s="8" t="n">
        <v>16</v>
      </c>
      <c r="C25527" s="8" t="n">
        <v>1</v>
      </c>
      <c r="D25527" s="8" t="inlineStr">
        <is>
          <t>Disney Adventure World</t>
        </is>
      </c>
      <c r="E25527" s="8" t="inlineStr">
        <is>
          <t>Avengers Assemble: Flight Force Single Rider</t>
        </is>
      </c>
      <c r="F25527" s="8" t="inlineStr">
        <is>
          <t>STANDBY</t>
        </is>
      </c>
      <c r="G25527" s="8" t="n">
        <v>15</v>
      </c>
      <c r="H25527" s="8" t="inlineStr">
        <is>
          <t>OPERATING</t>
        </is>
      </c>
    </row>
    <row r="25528">
      <c r="A25528" s="8" t="inlineStr">
        <is>
          <t>2026-08-05</t>
        </is>
      </c>
      <c r="B25528" s="8" t="n">
        <v>16</v>
      </c>
      <c r="C25528" s="8" t="n">
        <v>1</v>
      </c>
      <c r="D25528" s="8" t="inlineStr">
        <is>
          <t>Disney Adventure World</t>
        </is>
      </c>
      <c r="E25528" s="8" t="inlineStr">
        <is>
          <t>Spider-Man W.E.B. Adventure</t>
        </is>
      </c>
      <c r="F25528" s="8" t="inlineStr">
        <is>
          <t>STANDBY</t>
        </is>
      </c>
      <c r="G25528" s="8" t="n">
        <v>45</v>
      </c>
      <c r="H25528" s="8" t="inlineStr">
        <is>
          <t>OPERATING</t>
        </is>
      </c>
    </row>
    <row r="25529">
      <c r="A25529" s="8" t="inlineStr">
        <is>
          <t>2026-08-05</t>
        </is>
      </c>
      <c r="B25529" s="8" t="n">
        <v>16</v>
      </c>
      <c r="C25529" s="8" t="n">
        <v>1</v>
      </c>
      <c r="D25529" s="8" t="inlineStr">
        <is>
          <t>Disney Adventure World</t>
        </is>
      </c>
      <c r="E25529" s="8" t="inlineStr">
        <is>
          <t>Spider-Man W.E.B. Adventure Single Rider</t>
        </is>
      </c>
      <c r="F25529" s="8" t="inlineStr">
        <is>
          <t>STANDBY</t>
        </is>
      </c>
      <c r="G25529" s="8" t="n">
        <v>25</v>
      </c>
      <c r="H25529" s="8" t="inlineStr">
        <is>
          <t>OPERATING</t>
        </is>
      </c>
    </row>
    <row r="25530">
      <c r="A25530" s="8" t="inlineStr">
        <is>
          <t>2026-08-05</t>
        </is>
      </c>
      <c r="B25530" s="8" t="n">
        <v>16</v>
      </c>
      <c r="C25530" s="8" t="n">
        <v>1</v>
      </c>
      <c r="D25530" s="8" t="inlineStr">
        <is>
          <t>Disney Adventure World</t>
        </is>
      </c>
      <c r="E25530" s="8" t="inlineStr">
        <is>
          <t>The Twilight Zone Tower of Terror</t>
        </is>
      </c>
      <c r="F25530" s="8" t="inlineStr">
        <is>
          <t>STANDBY</t>
        </is>
      </c>
      <c r="G25530" s="8" t="n">
        <v>50</v>
      </c>
      <c r="H25530" s="8" t="inlineStr">
        <is>
          <t>OPERATING</t>
        </is>
      </c>
    </row>
    <row r="25531">
      <c r="A25531" s="8" t="inlineStr">
        <is>
          <t>2026-08-05</t>
        </is>
      </c>
      <c r="B25531" s="8" t="n">
        <v>16</v>
      </c>
      <c r="C25531" s="8" t="n">
        <v>1</v>
      </c>
      <c r="D25531" s="8" t="inlineStr">
        <is>
          <t>Disney Adventure World</t>
        </is>
      </c>
      <c r="E25531" s="8" t="inlineStr">
        <is>
          <t>Cars Quatre Roues Rallye</t>
        </is>
      </c>
      <c r="F25531" s="8" t="inlineStr">
        <is>
          <t>STANDBY</t>
        </is>
      </c>
      <c r="G25531" s="8" t="n">
        <v>20</v>
      </c>
      <c r="H25531" s="8" t="inlineStr">
        <is>
          <t>OPERATING</t>
        </is>
      </c>
    </row>
    <row r="25532">
      <c r="A25532" s="8" t="inlineStr">
        <is>
          <t>2026-08-05</t>
        </is>
      </c>
      <c r="B25532" s="8" t="n">
        <v>16</v>
      </c>
      <c r="C25532" s="8" t="n">
        <v>1</v>
      </c>
      <c r="D25532" s="8" t="inlineStr">
        <is>
          <t>Disney Adventure World</t>
        </is>
      </c>
      <c r="E25532" s="8" t="inlineStr">
        <is>
          <t>Cars ROAD TRIP</t>
        </is>
      </c>
      <c r="F25532" s="8" t="inlineStr">
        <is>
          <t>STANDBY</t>
        </is>
      </c>
      <c r="G25532" s="8" t="n">
        <v>10</v>
      </c>
      <c r="H25532" s="8" t="inlineStr">
        <is>
          <t>OPERATING</t>
        </is>
      </c>
    </row>
    <row r="25533">
      <c r="A25533" s="8" t="inlineStr">
        <is>
          <t>2026-08-05</t>
        </is>
      </c>
      <c r="B25533" s="8" t="n">
        <v>16</v>
      </c>
      <c r="C25533" s="8" t="n">
        <v>1</v>
      </c>
      <c r="D25533" s="8" t="inlineStr">
        <is>
          <t>Disney Adventure World</t>
        </is>
      </c>
      <c r="E25533" s="8" t="inlineStr">
        <is>
          <t>Crush's Coaster</t>
        </is>
      </c>
      <c r="F25533" s="8" t="inlineStr">
        <is>
          <t>STANDBY</t>
        </is>
      </c>
      <c r="G25533" s="8" t="n">
        <v>80</v>
      </c>
      <c r="H25533" s="8" t="inlineStr">
        <is>
          <t>OPERATING</t>
        </is>
      </c>
    </row>
    <row r="25534">
      <c r="A25534" s="8" t="inlineStr">
        <is>
          <t>2026-08-05</t>
        </is>
      </c>
      <c r="B25534" s="8" t="n">
        <v>16</v>
      </c>
      <c r="C25534" s="8" t="n">
        <v>1</v>
      </c>
      <c r="D25534" s="8" t="inlineStr">
        <is>
          <t>Disney Adventure World</t>
        </is>
      </c>
      <c r="E25534" s="8" t="inlineStr">
        <is>
          <t>Crush's Coaster Single Rider</t>
        </is>
      </c>
      <c r="F25534" s="8" t="inlineStr">
        <is>
          <t>STANDBY</t>
        </is>
      </c>
      <c r="G25534" s="8" t="n">
        <v>70</v>
      </c>
      <c r="H25534" s="8" t="inlineStr">
        <is>
          <t>OPERATING</t>
        </is>
      </c>
    </row>
    <row r="25535">
      <c r="A25535" s="8" t="inlineStr">
        <is>
          <t>2026-08-05</t>
        </is>
      </c>
      <c r="B25535" s="8" t="n">
        <v>16</v>
      </c>
      <c r="C25535" s="8" t="n">
        <v>1</v>
      </c>
      <c r="D25535" s="8" t="inlineStr">
        <is>
          <t>Disney Adventure World</t>
        </is>
      </c>
      <c r="E25535" s="8" t="inlineStr">
        <is>
          <t>Les Tapis Volants - Flying Carpets Over Agrabah®</t>
        </is>
      </c>
      <c r="F25535" s="8" t="inlineStr">
        <is>
          <t>STANDBY</t>
        </is>
      </c>
      <c r="G25535" s="8" t="n">
        <v>25</v>
      </c>
      <c r="H25535" s="8" t="inlineStr">
        <is>
          <t>OPERATING</t>
        </is>
      </c>
    </row>
    <row r="25536">
      <c r="A25536" s="8" t="inlineStr">
        <is>
          <t>2026-08-05</t>
        </is>
      </c>
      <c r="B25536" s="8" t="n">
        <v>16</v>
      </c>
      <c r="C25536" s="8" t="n">
        <v>1</v>
      </c>
      <c r="D25536" s="8" t="inlineStr">
        <is>
          <t>Disney Adventure World</t>
        </is>
      </c>
      <c r="E25536" s="8" t="inlineStr">
        <is>
          <t>Ratatouille : L’Aventure Totalement Toquée de Rémy​</t>
        </is>
      </c>
      <c r="F25536" s="8" t="inlineStr">
        <is>
          <t>STANDBY</t>
        </is>
      </c>
      <c r="G25536" s="8" t="n">
        <v>65</v>
      </c>
      <c r="H25536" s="8" t="inlineStr">
        <is>
          <t>OPERATING</t>
        </is>
      </c>
    </row>
    <row r="25537">
      <c r="A25537" s="8" t="inlineStr">
        <is>
          <t>2026-08-05</t>
        </is>
      </c>
      <c r="B25537" s="8" t="n">
        <v>16</v>
      </c>
      <c r="C25537" s="8" t="n">
        <v>1</v>
      </c>
      <c r="D25537" s="8" t="inlineStr">
        <is>
          <t>Disney Adventure World</t>
        </is>
      </c>
      <c r="E25537" s="8" t="inlineStr">
        <is>
          <t>Ratatouille: The Adventure Single Rider</t>
        </is>
      </c>
      <c r="F25537" s="8" t="inlineStr">
        <is>
          <t>STANDBY</t>
        </is>
      </c>
      <c r="G25537" s="8" t="n">
        <v>20</v>
      </c>
      <c r="H25537" s="8" t="inlineStr">
        <is>
          <t>OPERATING</t>
        </is>
      </c>
    </row>
    <row r="25538">
      <c r="A25538" s="8" t="inlineStr">
        <is>
          <t>2026-08-05</t>
        </is>
      </c>
      <c r="B25538" s="8" t="n">
        <v>16</v>
      </c>
      <c r="C25538" s="8" t="n">
        <v>1</v>
      </c>
      <c r="D25538" s="8" t="inlineStr">
        <is>
          <t>Disney Adventure World</t>
        </is>
      </c>
      <c r="E25538" s="8" t="inlineStr">
        <is>
          <t>RC Racer</t>
        </is>
      </c>
      <c r="F25538" s="8" t="inlineStr">
        <is>
          <t>STANDBY</t>
        </is>
      </c>
      <c r="G25538" s="8" t="n">
        <v>55</v>
      </c>
      <c r="H25538" s="8" t="inlineStr">
        <is>
          <t>OPERATING</t>
        </is>
      </c>
    </row>
    <row r="25539">
      <c r="A25539" s="8" t="inlineStr">
        <is>
          <t>2026-08-05</t>
        </is>
      </c>
      <c r="B25539" s="8" t="n">
        <v>16</v>
      </c>
      <c r="C25539" s="8" t="n">
        <v>1</v>
      </c>
      <c r="D25539" s="8" t="inlineStr">
        <is>
          <t>Disney Adventure World</t>
        </is>
      </c>
      <c r="E25539" s="8" t="inlineStr">
        <is>
          <t>RC Racer Single Rider</t>
        </is>
      </c>
      <c r="F25539" s="8" t="inlineStr">
        <is>
          <t>STANDBY</t>
        </is>
      </c>
      <c r="G25539" s="8" t="n">
        <v>50</v>
      </c>
      <c r="H25539" s="8" t="inlineStr">
        <is>
          <t>OPERATING</t>
        </is>
      </c>
    </row>
    <row r="25540">
      <c r="A25540" s="8" t="inlineStr">
        <is>
          <t>2026-08-05</t>
        </is>
      </c>
      <c r="B25540" s="8" t="n">
        <v>16</v>
      </c>
      <c r="C25540" s="8" t="n">
        <v>1</v>
      </c>
      <c r="D25540" s="8" t="inlineStr">
        <is>
          <t>Disney Adventure World</t>
        </is>
      </c>
      <c r="E25540" s="8" t="inlineStr">
        <is>
          <t>Slinky® Dog Zigzag Spin</t>
        </is>
      </c>
      <c r="F25540" s="8" t="inlineStr">
        <is>
          <t>STANDBY</t>
        </is>
      </c>
      <c r="G25540" s="8" t="n">
        <v>25</v>
      </c>
      <c r="H25540" s="8" t="inlineStr">
        <is>
          <t>OPERATING</t>
        </is>
      </c>
    </row>
    <row r="25541">
      <c r="A25541" s="8" t="inlineStr">
        <is>
          <t>2026-08-05</t>
        </is>
      </c>
      <c r="B25541" s="8" t="n">
        <v>16</v>
      </c>
      <c r="C25541" s="8" t="n">
        <v>1</v>
      </c>
      <c r="D25541" s="8" t="inlineStr">
        <is>
          <t>Disney Adventure World</t>
        </is>
      </c>
      <c r="E25541" s="8" t="inlineStr">
        <is>
          <t>Toy Soldiers Parachute Drop</t>
        </is>
      </c>
      <c r="F25541" s="8" t="inlineStr">
        <is>
          <t>STANDBY</t>
        </is>
      </c>
      <c r="G25541" s="8" t="n">
        <v>50</v>
      </c>
      <c r="H25541" s="8" t="inlineStr">
        <is>
          <t>OPERATING</t>
        </is>
      </c>
    </row>
    <row r="25542">
      <c r="A25542" s="8" t="inlineStr">
        <is>
          <t>2026-08-05</t>
        </is>
      </c>
      <c r="B25542" s="8" t="n">
        <v>16</v>
      </c>
      <c r="C25542" s="8" t="n">
        <v>1</v>
      </c>
      <c r="D25542" s="8" t="inlineStr">
        <is>
          <t>Disney Adventure World</t>
        </is>
      </c>
      <c r="E25542" s="8" t="inlineStr">
        <is>
          <t>Toy Soldiers Parachute Drop Single Rider</t>
        </is>
      </c>
      <c r="F25542" s="8" t="inlineStr">
        <is>
          <t>STANDBY</t>
        </is>
      </c>
      <c r="G25542" s="8" t="n">
        <v>15</v>
      </c>
      <c r="H25542" s="8" t="inlineStr">
        <is>
          <t>OPERATING</t>
        </is>
      </c>
    </row>
    <row r="25543">
      <c r="A25543" s="8" t="inlineStr">
        <is>
          <t>2026-08-05</t>
        </is>
      </c>
      <c r="B25543" s="8" t="n">
        <v>16</v>
      </c>
      <c r="C25543" s="8" t="n">
        <v>1</v>
      </c>
      <c r="D25543" s="8" t="inlineStr">
        <is>
          <t>Disney Adventure World</t>
        </is>
      </c>
      <c r="E25543" s="8" t="inlineStr">
        <is>
          <t>Entry to World of Frozen</t>
        </is>
      </c>
      <c r="F25543" s="8" t="inlineStr">
        <is>
          <t>STANDBY</t>
        </is>
      </c>
      <c r="G25543" s="8" t="n">
        <v>0</v>
      </c>
      <c r="H25543" s="8" t="inlineStr">
        <is>
          <t>OPERATING</t>
        </is>
      </c>
    </row>
    <row r="25544">
      <c r="A25544" s="8" t="inlineStr">
        <is>
          <t>2026-08-05</t>
        </is>
      </c>
      <c r="B25544" s="8" t="n">
        <v>16</v>
      </c>
      <c r="C25544" s="8" t="n">
        <v>1</v>
      </c>
      <c r="D25544" s="8" t="inlineStr">
        <is>
          <t>Disney Adventure World</t>
        </is>
      </c>
      <c r="E25544" s="8" t="inlineStr">
        <is>
          <t>Frozen Ever After</t>
        </is>
      </c>
      <c r="F25544" s="8" t="inlineStr">
        <is>
          <t>STANDBY</t>
        </is>
      </c>
      <c r="G25544" s="8" t="n">
        <v>80</v>
      </c>
      <c r="H25544" s="8" t="inlineStr">
        <is>
          <t>OPERATING</t>
        </is>
      </c>
    </row>
    <row r="25545">
      <c r="A25545" s="8" t="inlineStr">
        <is>
          <t>2026-08-05</t>
        </is>
      </c>
      <c r="B25545" s="8" t="n">
        <v>16</v>
      </c>
      <c r="C25545" s="8" t="n">
        <v>1</v>
      </c>
      <c r="D25545" s="8" t="inlineStr">
        <is>
          <t>Disney Adventure World</t>
        </is>
      </c>
      <c r="E25545" s="8" t="inlineStr">
        <is>
          <t>Raiponce Tangled Spin</t>
        </is>
      </c>
      <c r="F25545" s="8" t="inlineStr">
        <is>
          <t>STANDBY</t>
        </is>
      </c>
      <c r="G25545" s="8" t="n">
        <v>15</v>
      </c>
      <c r="H25545" s="8" t="inlineStr">
        <is>
          <t>OPERATING</t>
        </is>
      </c>
    </row>
    <row r="25546">
      <c r="A25546" s="8" t="inlineStr">
        <is>
          <t>2026-08-05</t>
        </is>
      </c>
      <c r="B25546" s="8" t="n">
        <v>16</v>
      </c>
      <c r="C25546" s="8" t="n">
        <v>15</v>
      </c>
      <c r="D25546" s="8" t="inlineStr">
        <is>
          <t>Disneyland Park</t>
        </is>
      </c>
      <c r="E25546" s="8" t="inlineStr">
        <is>
          <t>Adventure Isle</t>
        </is>
      </c>
      <c r="F25546" s="8" t="inlineStr">
        <is>
          <t>STANDBY</t>
        </is>
      </c>
      <c r="G25546" s="8" t="n">
        <v>0</v>
      </c>
      <c r="H25546" s="8" t="inlineStr">
        <is>
          <t>OPERATING</t>
        </is>
      </c>
    </row>
    <row r="25547">
      <c r="A25547" s="8" t="inlineStr">
        <is>
          <t>2026-08-05</t>
        </is>
      </c>
      <c r="B25547" s="8" t="n">
        <v>16</v>
      </c>
      <c r="C25547" s="8" t="n">
        <v>15</v>
      </c>
      <c r="D25547" s="8" t="inlineStr">
        <is>
          <t>Disneyland Park</t>
        </is>
      </c>
      <c r="E25547" s="8" t="inlineStr">
        <is>
          <t>Indiana Jones and the Temple of Peril Single Rider</t>
        </is>
      </c>
      <c r="F25547" s="8" t="inlineStr">
        <is>
          <t>STANDBY</t>
        </is>
      </c>
      <c r="G25547" s="8" t="n">
        <v>15</v>
      </c>
      <c r="H25547" s="8" t="inlineStr">
        <is>
          <t>OPERATING</t>
        </is>
      </c>
    </row>
    <row r="25548">
      <c r="A25548" s="8" t="inlineStr">
        <is>
          <t>2026-08-05</t>
        </is>
      </c>
      <c r="B25548" s="8" t="n">
        <v>16</v>
      </c>
      <c r="C25548" s="8" t="n">
        <v>15</v>
      </c>
      <c r="D25548" s="8" t="inlineStr">
        <is>
          <t>Disneyland Park</t>
        </is>
      </c>
      <c r="E25548" s="8" t="inlineStr">
        <is>
          <t>Indiana Jones™ and the Temple of Peril</t>
        </is>
      </c>
      <c r="F25548" s="8" t="inlineStr">
        <is>
          <t>STANDBY</t>
        </is>
      </c>
      <c r="G25548" s="8" t="n">
        <v>30</v>
      </c>
      <c r="H25548" s="8" t="inlineStr">
        <is>
          <t>OPERATING</t>
        </is>
      </c>
    </row>
    <row r="25549">
      <c r="A25549" s="8" t="inlineStr">
        <is>
          <t>2026-08-05</t>
        </is>
      </c>
      <c r="B25549" s="8" t="n">
        <v>16</v>
      </c>
      <c r="C25549" s="8" t="n">
        <v>15</v>
      </c>
      <c r="D25549" s="8" t="inlineStr">
        <is>
          <t>Disneyland Park</t>
        </is>
      </c>
      <c r="E25549" s="8" t="inlineStr">
        <is>
          <t>La Cabane des Robinson</t>
        </is>
      </c>
      <c r="F25549" s="8" t="inlineStr">
        <is>
          <t>STANDBY</t>
        </is>
      </c>
      <c r="G25549" s="8" t="n">
        <v>5</v>
      </c>
      <c r="H25549" s="8" t="inlineStr">
        <is>
          <t>OPERATING</t>
        </is>
      </c>
    </row>
    <row r="25550">
      <c r="A25550" s="8" t="inlineStr">
        <is>
          <t>2026-08-05</t>
        </is>
      </c>
      <c r="B25550" s="8" t="n">
        <v>16</v>
      </c>
      <c r="C25550" s="8" t="n">
        <v>15</v>
      </c>
      <c r="D25550" s="8" t="inlineStr">
        <is>
          <t>Disneyland Park</t>
        </is>
      </c>
      <c r="E25550" s="8" t="inlineStr">
        <is>
          <t>Le Passage Enchanté d'Aladdin</t>
        </is>
      </c>
      <c r="F25550" s="8" t="inlineStr">
        <is>
          <t>STANDBY</t>
        </is>
      </c>
      <c r="G25550" s="8" t="n">
        <v>0</v>
      </c>
      <c r="H25550" s="8" t="inlineStr">
        <is>
          <t>OPERATING</t>
        </is>
      </c>
    </row>
    <row r="25551">
      <c r="A25551" s="8" t="inlineStr">
        <is>
          <t>2026-08-05</t>
        </is>
      </c>
      <c r="B25551" s="8" t="n">
        <v>16</v>
      </c>
      <c r="C25551" s="8" t="n">
        <v>15</v>
      </c>
      <c r="D25551" s="8" t="inlineStr">
        <is>
          <t>Disneyland Park</t>
        </is>
      </c>
      <c r="E25551" s="8" t="inlineStr">
        <is>
          <t>Pirate Galleon</t>
        </is>
      </c>
      <c r="F25551" s="8" t="inlineStr">
        <is>
          <t>STANDBY</t>
        </is>
      </c>
      <c r="G25551" s="8" t="n">
        <v>0</v>
      </c>
      <c r="H25551" s="8" t="inlineStr">
        <is>
          <t>CLOSED</t>
        </is>
      </c>
    </row>
    <row r="25552">
      <c r="A25552" s="8" t="inlineStr">
        <is>
          <t>2026-08-05</t>
        </is>
      </c>
      <c r="B25552" s="8" t="n">
        <v>16</v>
      </c>
      <c r="C25552" s="8" t="n">
        <v>15</v>
      </c>
      <c r="D25552" s="8" t="inlineStr">
        <is>
          <t>Disneyland Park</t>
        </is>
      </c>
      <c r="E25552" s="8" t="inlineStr">
        <is>
          <t>Pirates of the Caribbean</t>
        </is>
      </c>
      <c r="F25552" s="8" t="inlineStr">
        <is>
          <t>STANDBY</t>
        </is>
      </c>
      <c r="G25552" s="8" t="n">
        <v>25</v>
      </c>
      <c r="H25552" s="8" t="inlineStr">
        <is>
          <t>OPERATING</t>
        </is>
      </c>
    </row>
    <row r="25553">
      <c r="A25553" s="8" t="inlineStr">
        <is>
          <t>2026-08-05</t>
        </is>
      </c>
      <c r="B25553" s="8" t="n">
        <v>16</v>
      </c>
      <c r="C25553" s="8" t="n">
        <v>15</v>
      </c>
      <c r="D25553" s="8" t="inlineStr">
        <is>
          <t>Disneyland Park</t>
        </is>
      </c>
      <c r="E25553" s="8" t="inlineStr">
        <is>
          <t>Pirates' Beach</t>
        </is>
      </c>
      <c r="F25553" s="8" t="inlineStr">
        <is>
          <t>STANDBY</t>
        </is>
      </c>
      <c r="G25553" s="8" t="n">
        <v>0</v>
      </c>
      <c r="H25553" s="8" t="inlineStr">
        <is>
          <t>OPERATING</t>
        </is>
      </c>
    </row>
    <row r="25554">
      <c r="A25554" s="8" t="inlineStr">
        <is>
          <t>2026-08-05</t>
        </is>
      </c>
      <c r="B25554" s="8" t="n">
        <v>16</v>
      </c>
      <c r="C25554" s="8" t="n">
        <v>15</v>
      </c>
      <c r="D25554" s="8" t="inlineStr">
        <is>
          <t>Disneyland Park</t>
        </is>
      </c>
      <c r="E25554" s="8" t="inlineStr">
        <is>
          <t>Autopia, presented by Avis</t>
        </is>
      </c>
      <c r="F25554" s="8" t="inlineStr">
        <is>
          <t>STANDBY</t>
        </is>
      </c>
      <c r="G25554" s="8" t="n">
        <v>40</v>
      </c>
      <c r="H25554" s="8" t="inlineStr">
        <is>
          <t>OPERATING</t>
        </is>
      </c>
    </row>
    <row r="25555">
      <c r="A25555" s="8" t="inlineStr">
        <is>
          <t>2026-08-05</t>
        </is>
      </c>
      <c r="B25555" s="8" t="n">
        <v>16</v>
      </c>
      <c r="C25555" s="8" t="n">
        <v>15</v>
      </c>
      <c r="D25555" s="8" t="inlineStr">
        <is>
          <t>Disneyland Park</t>
        </is>
      </c>
      <c r="E25555" s="8" t="inlineStr">
        <is>
          <t>Buzz Lightyear Laser Blast</t>
        </is>
      </c>
      <c r="F25555" s="8" t="inlineStr">
        <is>
          <t>STANDBY</t>
        </is>
      </c>
      <c r="G25555" s="8" t="n">
        <v>45</v>
      </c>
      <c r="H25555" s="8" t="inlineStr">
        <is>
          <t>OPERATING</t>
        </is>
      </c>
    </row>
    <row r="25556">
      <c r="A25556" s="8" t="inlineStr">
        <is>
          <t>2026-08-05</t>
        </is>
      </c>
      <c r="B25556" s="8" t="n">
        <v>16</v>
      </c>
      <c r="C25556" s="8" t="n">
        <v>15</v>
      </c>
      <c r="D25556" s="8" t="inlineStr">
        <is>
          <t>Disneyland Park</t>
        </is>
      </c>
      <c r="E25556" s="8" t="inlineStr">
        <is>
          <t>Disneyland Railroad Discoveryland Station</t>
        </is>
      </c>
      <c r="F25556" s="8" t="inlineStr">
        <is>
          <t>STANDBY</t>
        </is>
      </c>
      <c r="G25556" s="8" t="n">
        <v>0</v>
      </c>
      <c r="H25556" s="8" t="inlineStr">
        <is>
          <t>CLOSED</t>
        </is>
      </c>
    </row>
    <row r="25557">
      <c r="A25557" s="8" t="inlineStr">
        <is>
          <t>2026-08-05</t>
        </is>
      </c>
      <c r="B25557" s="8" t="n">
        <v>16</v>
      </c>
      <c r="C25557" s="8" t="n">
        <v>15</v>
      </c>
      <c r="D25557" s="8" t="inlineStr">
        <is>
          <t>Disneyland Park</t>
        </is>
      </c>
      <c r="E25557" s="8" t="inlineStr">
        <is>
          <t>Les Mystères du Nautilus</t>
        </is>
      </c>
      <c r="F25557" s="8" t="inlineStr">
        <is>
          <t>STANDBY</t>
        </is>
      </c>
      <c r="G25557" s="8" t="n">
        <v>5</v>
      </c>
      <c r="H25557" s="8" t="inlineStr">
        <is>
          <t>OPERATING</t>
        </is>
      </c>
    </row>
    <row r="25558">
      <c r="A25558" s="8" t="inlineStr">
        <is>
          <t>2026-08-05</t>
        </is>
      </c>
      <c r="B25558" s="8" t="n">
        <v>16</v>
      </c>
      <c r="C25558" s="8" t="n">
        <v>15</v>
      </c>
      <c r="D25558" s="8" t="inlineStr">
        <is>
          <t>Disneyland Park</t>
        </is>
      </c>
      <c r="E25558" s="8" t="inlineStr">
        <is>
          <t>Mickey’s PhilharMagic</t>
        </is>
      </c>
      <c r="F25558" s="8" t="inlineStr">
        <is>
          <t>STANDBY</t>
        </is>
      </c>
      <c r="G25558" s="8" t="n">
        <v>0</v>
      </c>
      <c r="H25558" s="8" t="inlineStr">
        <is>
          <t>OPERATING</t>
        </is>
      </c>
    </row>
    <row r="25559">
      <c r="A25559" s="8" t="inlineStr">
        <is>
          <t>2026-08-05</t>
        </is>
      </c>
      <c r="B25559" s="8" t="n">
        <v>16</v>
      </c>
      <c r="C25559" s="8" t="n">
        <v>15</v>
      </c>
      <c r="D25559" s="8" t="inlineStr">
        <is>
          <t>Disneyland Park</t>
        </is>
      </c>
      <c r="E25559" s="8" t="inlineStr">
        <is>
          <t>Orbitron®</t>
        </is>
      </c>
      <c r="F25559" s="8" t="inlineStr">
        <is>
          <t>STANDBY</t>
        </is>
      </c>
      <c r="G25559" s="8" t="n">
        <v>45</v>
      </c>
      <c r="H25559" s="8" t="inlineStr">
        <is>
          <t>OPERATING</t>
        </is>
      </c>
    </row>
    <row r="25560">
      <c r="A25560" s="8" t="inlineStr">
        <is>
          <t>2026-08-05</t>
        </is>
      </c>
      <c r="B25560" s="8" t="n">
        <v>16</v>
      </c>
      <c r="C25560" s="8" t="n">
        <v>15</v>
      </c>
      <c r="D25560" s="8" t="inlineStr">
        <is>
          <t>Disneyland Park</t>
        </is>
      </c>
      <c r="E25560" s="8" t="inlineStr">
        <is>
          <t>Star Tours: The Adventures Continue*</t>
        </is>
      </c>
      <c r="F25560" s="8" t="inlineStr">
        <is>
          <t>STANDBY</t>
        </is>
      </c>
      <c r="G25560" s="8" t="n">
        <v>15</v>
      </c>
      <c r="H25560" s="8" t="inlineStr">
        <is>
          <t>OPERATING</t>
        </is>
      </c>
    </row>
    <row r="25561">
      <c r="A25561" s="8" t="inlineStr">
        <is>
          <t>2026-08-05</t>
        </is>
      </c>
      <c r="B25561" s="8" t="n">
        <v>16</v>
      </c>
      <c r="C25561" s="8" t="n">
        <v>15</v>
      </c>
      <c r="D25561" s="8" t="inlineStr">
        <is>
          <t>Disneyland Park</t>
        </is>
      </c>
      <c r="E25561" s="8" t="inlineStr">
        <is>
          <t>Star Wars Hyperspace Mountain</t>
        </is>
      </c>
      <c r="F25561" s="8" t="inlineStr">
        <is>
          <t>STANDBY</t>
        </is>
      </c>
      <c r="G25561" s="8" t="n">
        <v>45</v>
      </c>
      <c r="H25561" s="8" t="inlineStr">
        <is>
          <t>OPERATING</t>
        </is>
      </c>
    </row>
    <row r="25562">
      <c r="A25562" s="8" t="inlineStr">
        <is>
          <t>2026-08-05</t>
        </is>
      </c>
      <c r="B25562" s="8" t="n">
        <v>16</v>
      </c>
      <c r="C25562" s="8" t="n">
        <v>15</v>
      </c>
      <c r="D25562" s="8" t="inlineStr">
        <is>
          <t>Disneyland Park</t>
        </is>
      </c>
      <c r="E25562" s="8" t="inlineStr">
        <is>
          <t>Star Wars Hyperspace Mountain Single Rider</t>
        </is>
      </c>
      <c r="F25562" s="8" t="inlineStr">
        <is>
          <t>STANDBY</t>
        </is>
      </c>
      <c r="G25562" s="8" t="n">
        <v>40</v>
      </c>
      <c r="H25562" s="8" t="inlineStr">
        <is>
          <t>OPERATING</t>
        </is>
      </c>
    </row>
    <row r="25563">
      <c r="A25563" s="8" t="inlineStr">
        <is>
          <t>2026-08-05</t>
        </is>
      </c>
      <c r="B25563" s="8" t="n">
        <v>16</v>
      </c>
      <c r="C25563" s="8" t="n">
        <v>15</v>
      </c>
      <c r="D25563" s="8" t="inlineStr">
        <is>
          <t>Disneyland Park</t>
        </is>
      </c>
      <c r="E25563" s="8" t="inlineStr">
        <is>
          <t>Welcome to Starport: A Star Wars Encounter</t>
        </is>
      </c>
      <c r="F25563" s="8" t="inlineStr">
        <is>
          <t>STANDBY</t>
        </is>
      </c>
      <c r="G25563" s="8" t="n">
        <v>20</v>
      </c>
      <c r="H25563" s="8" t="inlineStr">
        <is>
          <t>OPERATING</t>
        </is>
      </c>
    </row>
    <row r="25564">
      <c r="A25564" s="8" t="inlineStr">
        <is>
          <t>2026-08-05</t>
        </is>
      </c>
      <c r="B25564" s="8" t="n">
        <v>16</v>
      </c>
      <c r="C25564" s="8" t="n">
        <v>15</v>
      </c>
      <c r="D25564" s="8" t="inlineStr">
        <is>
          <t>Disneyland Park</t>
        </is>
      </c>
      <c r="E25564" s="8" t="inlineStr">
        <is>
          <t>"it's a small world"</t>
        </is>
      </c>
      <c r="F25564" s="8" t="inlineStr">
        <is>
          <t>STANDBY</t>
        </is>
      </c>
      <c r="G25564" s="8" t="n">
        <v>10</v>
      </c>
      <c r="H25564" s="8" t="inlineStr">
        <is>
          <t>OPERATING</t>
        </is>
      </c>
    </row>
    <row r="25565">
      <c r="A25565" s="8" t="inlineStr">
        <is>
          <t>2026-08-05</t>
        </is>
      </c>
      <c r="B25565" s="8" t="n">
        <v>16</v>
      </c>
      <c r="C25565" s="8" t="n">
        <v>15</v>
      </c>
      <c r="D25565" s="8" t="inlineStr">
        <is>
          <t>Disneyland Park</t>
        </is>
      </c>
      <c r="E25565" s="8" t="inlineStr">
        <is>
          <t>Alice's Curious Labyrinth</t>
        </is>
      </c>
      <c r="F25565" s="8" t="inlineStr">
        <is>
          <t>STANDBY</t>
        </is>
      </c>
      <c r="G25565" s="8" t="n">
        <v>5</v>
      </c>
      <c r="H25565" s="8" t="inlineStr">
        <is>
          <t>OPERATING</t>
        </is>
      </c>
    </row>
    <row r="25566">
      <c r="A25566" s="8" t="inlineStr">
        <is>
          <t>2026-08-05</t>
        </is>
      </c>
      <c r="B25566" s="8" t="n">
        <v>16</v>
      </c>
      <c r="C25566" s="8" t="n">
        <v>15</v>
      </c>
      <c r="D25566" s="8" t="inlineStr">
        <is>
          <t>Disneyland Park</t>
        </is>
      </c>
      <c r="E25566" s="8" t="inlineStr">
        <is>
          <t>Blanche-Neige et les Sept Nains®</t>
        </is>
      </c>
      <c r="F25566" s="8" t="inlineStr">
        <is>
          <t>STANDBY</t>
        </is>
      </c>
      <c r="G25566" s="8" t="n">
        <v>15</v>
      </c>
      <c r="H25566" s="8" t="inlineStr">
        <is>
          <t>OPERATING</t>
        </is>
      </c>
    </row>
    <row r="25567">
      <c r="A25567" s="8" t="inlineStr">
        <is>
          <t>2026-08-05</t>
        </is>
      </c>
      <c r="B25567" s="8" t="n">
        <v>16</v>
      </c>
      <c r="C25567" s="8" t="n">
        <v>15</v>
      </c>
      <c r="D25567" s="8" t="inlineStr">
        <is>
          <t>Disneyland Park</t>
        </is>
      </c>
      <c r="E25567" s="8" t="inlineStr">
        <is>
          <t>Casey Jr. – le Petit Train du Cirque</t>
        </is>
      </c>
      <c r="F25567" s="8" t="inlineStr">
        <is>
          <t>STANDBY</t>
        </is>
      </c>
      <c r="G25567" s="8" t="n">
        <v>0</v>
      </c>
      <c r="H25567" s="8" t="inlineStr">
        <is>
          <t>CLOSED</t>
        </is>
      </c>
    </row>
    <row r="25568">
      <c r="A25568" s="8" t="inlineStr">
        <is>
          <t>2026-08-05</t>
        </is>
      </c>
      <c r="B25568" s="8" t="n">
        <v>16</v>
      </c>
      <c r="C25568" s="8" t="n">
        <v>15</v>
      </c>
      <c r="D25568" s="8" t="inlineStr">
        <is>
          <t>Disneyland Park</t>
        </is>
      </c>
      <c r="E25568" s="8" t="inlineStr">
        <is>
          <t>Disneyland Railroad Fantasyland Station</t>
        </is>
      </c>
      <c r="F25568" s="8" t="inlineStr">
        <is>
          <t>STANDBY</t>
        </is>
      </c>
      <c r="G25568" s="8" t="n">
        <v>0</v>
      </c>
      <c r="H25568" s="8" t="inlineStr">
        <is>
          <t>CLOSED</t>
        </is>
      </c>
    </row>
    <row r="25569">
      <c r="A25569" s="8" t="inlineStr">
        <is>
          <t>2026-08-05</t>
        </is>
      </c>
      <c r="B25569" s="8" t="n">
        <v>16</v>
      </c>
      <c r="C25569" s="8" t="n">
        <v>15</v>
      </c>
      <c r="D25569" s="8" t="inlineStr">
        <is>
          <t>Disneyland Park</t>
        </is>
      </c>
      <c r="E25569" s="8" t="inlineStr">
        <is>
          <t>Disneyland Railroad Main Street Station</t>
        </is>
      </c>
      <c r="F25569" s="8" t="inlineStr">
        <is>
          <t>STANDBY</t>
        </is>
      </c>
      <c r="G25569" s="8" t="n">
        <v>20</v>
      </c>
      <c r="H25569" s="8" t="inlineStr">
        <is>
          <t>OPERATING</t>
        </is>
      </c>
    </row>
    <row r="25570">
      <c r="A25570" s="8" t="inlineStr">
        <is>
          <t>2026-08-05</t>
        </is>
      </c>
      <c r="B25570" s="8" t="n">
        <v>16</v>
      </c>
      <c r="C25570" s="8" t="n">
        <v>15</v>
      </c>
      <c r="D25570" s="8" t="inlineStr">
        <is>
          <t>Disneyland Park</t>
        </is>
      </c>
      <c r="E25570" s="8" t="inlineStr">
        <is>
          <t>Dumbo the Flying Elephant</t>
        </is>
      </c>
      <c r="F25570" s="8" t="inlineStr">
        <is>
          <t>STANDBY</t>
        </is>
      </c>
      <c r="G25570" s="8" t="n">
        <v>35</v>
      </c>
      <c r="H25570" s="8" t="inlineStr">
        <is>
          <t>OPERATING</t>
        </is>
      </c>
    </row>
    <row r="25571">
      <c r="A25571" s="8" t="inlineStr">
        <is>
          <t>2026-08-05</t>
        </is>
      </c>
      <c r="B25571" s="8" t="n">
        <v>16</v>
      </c>
      <c r="C25571" s="8" t="n">
        <v>15</v>
      </c>
      <c r="D25571" s="8" t="inlineStr">
        <is>
          <t>Disneyland Park</t>
        </is>
      </c>
      <c r="E25571" s="8" t="inlineStr">
        <is>
          <t>La Tanière du Dragon</t>
        </is>
      </c>
      <c r="F25571" s="8" t="inlineStr">
        <is>
          <t>STANDBY</t>
        </is>
      </c>
      <c r="G25571" s="8" t="n">
        <v>0</v>
      </c>
      <c r="H25571" s="8" t="inlineStr">
        <is>
          <t>OPERATING</t>
        </is>
      </c>
    </row>
    <row r="25572">
      <c r="A25572" s="8" t="inlineStr">
        <is>
          <t>2026-08-05</t>
        </is>
      </c>
      <c r="B25572" s="8" t="n">
        <v>16</v>
      </c>
      <c r="C25572" s="8" t="n">
        <v>15</v>
      </c>
      <c r="D25572" s="8" t="inlineStr">
        <is>
          <t>Disneyland Park</t>
        </is>
      </c>
      <c r="E25572" s="8" t="inlineStr">
        <is>
          <t>Le Carrousel de Lancelot</t>
        </is>
      </c>
      <c r="F25572" s="8" t="inlineStr">
        <is>
          <t>STANDBY</t>
        </is>
      </c>
      <c r="G25572" s="8" t="n">
        <v>15</v>
      </c>
      <c r="H25572" s="8" t="inlineStr">
        <is>
          <t>OPERATING</t>
        </is>
      </c>
    </row>
    <row r="25573">
      <c r="A25573" s="8" t="inlineStr">
        <is>
          <t>2026-08-05</t>
        </is>
      </c>
      <c r="B25573" s="8" t="n">
        <v>16</v>
      </c>
      <c r="C25573" s="8" t="n">
        <v>15</v>
      </c>
      <c r="D25573" s="8" t="inlineStr">
        <is>
          <t>Disneyland Park</t>
        </is>
      </c>
      <c r="E25573" s="8" t="inlineStr">
        <is>
          <t>Le Pays des Contes de Fées, presented by Vittel</t>
        </is>
      </c>
      <c r="F25573" s="8" t="inlineStr">
        <is>
          <t>STANDBY</t>
        </is>
      </c>
      <c r="G25573" s="8" t="n">
        <v>5</v>
      </c>
      <c r="H25573" s="8" t="inlineStr">
        <is>
          <t>OPERATING</t>
        </is>
      </c>
    </row>
    <row r="25574">
      <c r="A25574" s="8" t="inlineStr">
        <is>
          <t>2026-08-05</t>
        </is>
      </c>
      <c r="B25574" s="8" t="n">
        <v>16</v>
      </c>
      <c r="C25574" s="8" t="n">
        <v>15</v>
      </c>
      <c r="D25574" s="8" t="inlineStr">
        <is>
          <t>Disneyland Park</t>
        </is>
      </c>
      <c r="E25574" s="8" t="inlineStr">
        <is>
          <t>Les Voyages de Pinocchio</t>
        </is>
      </c>
      <c r="F25574" s="8" t="inlineStr">
        <is>
          <t>STANDBY</t>
        </is>
      </c>
      <c r="G25574" s="8" t="n">
        <v>30</v>
      </c>
      <c r="H25574" s="8" t="inlineStr">
        <is>
          <t>OPERATING</t>
        </is>
      </c>
    </row>
    <row r="25575">
      <c r="A25575" s="8" t="inlineStr">
        <is>
          <t>2026-08-05</t>
        </is>
      </c>
      <c r="B25575" s="8" t="n">
        <v>16</v>
      </c>
      <c r="C25575" s="8" t="n">
        <v>15</v>
      </c>
      <c r="D25575" s="8" t="inlineStr">
        <is>
          <t>Disneyland Park</t>
        </is>
      </c>
      <c r="E25575" s="8" t="inlineStr">
        <is>
          <t>Mad Hatter's Tea Cups</t>
        </is>
      </c>
      <c r="F25575" s="8" t="inlineStr">
        <is>
          <t>STANDBY</t>
        </is>
      </c>
      <c r="G25575" s="8" t="n">
        <v>10</v>
      </c>
      <c r="H25575" s="8" t="inlineStr">
        <is>
          <t>OPERATING</t>
        </is>
      </c>
    </row>
    <row r="25576">
      <c r="A25576" s="8" t="inlineStr">
        <is>
          <t>2026-08-05</t>
        </is>
      </c>
      <c r="B25576" s="8" t="n">
        <v>16</v>
      </c>
      <c r="C25576" s="8" t="n">
        <v>15</v>
      </c>
      <c r="D25576" s="8" t="inlineStr">
        <is>
          <t>Disneyland Park</t>
        </is>
      </c>
      <c r="E25576" s="8" t="inlineStr">
        <is>
          <t>Meet Mickey Mouse</t>
        </is>
      </c>
      <c r="F25576" s="8" t="inlineStr">
        <is>
          <t>STANDBY</t>
        </is>
      </c>
      <c r="G25576" s="8" t="n">
        <v>0</v>
      </c>
      <c r="H25576" s="8" t="inlineStr">
        <is>
          <t>OPERATING</t>
        </is>
      </c>
    </row>
    <row r="25577">
      <c r="A25577" s="8" t="inlineStr">
        <is>
          <t>2026-08-05</t>
        </is>
      </c>
      <c r="B25577" s="8" t="n">
        <v>16</v>
      </c>
      <c r="C25577" s="8" t="n">
        <v>15</v>
      </c>
      <c r="D25577" s="8" t="inlineStr">
        <is>
          <t>Disneyland Park</t>
        </is>
      </c>
      <c r="E25577" s="8" t="inlineStr">
        <is>
          <t>Peter Pan's Flight</t>
        </is>
      </c>
      <c r="F25577" s="8" t="inlineStr">
        <is>
          <t>STANDBY</t>
        </is>
      </c>
      <c r="G25577" s="8" t="n">
        <v>70</v>
      </c>
      <c r="H25577" s="8" t="inlineStr">
        <is>
          <t>OPERATING</t>
        </is>
      </c>
    </row>
    <row r="25578">
      <c r="A25578" s="8" t="inlineStr">
        <is>
          <t>2026-08-05</t>
        </is>
      </c>
      <c r="B25578" s="8" t="n">
        <v>16</v>
      </c>
      <c r="C25578" s="8" t="n">
        <v>15</v>
      </c>
      <c r="D25578" s="8" t="inlineStr">
        <is>
          <t>Disneyland Park</t>
        </is>
      </c>
      <c r="E25578" s="8" t="inlineStr">
        <is>
          <t>Princess Pavilion</t>
        </is>
      </c>
      <c r="F25578" s="8" t="inlineStr">
        <is>
          <t>STANDBY</t>
        </is>
      </c>
      <c r="G25578" s="8" t="n">
        <v>0</v>
      </c>
      <c r="H25578" s="8" t="inlineStr">
        <is>
          <t>OPERATING</t>
        </is>
      </c>
    </row>
    <row r="25579">
      <c r="A25579" s="8" t="inlineStr">
        <is>
          <t>2026-08-05</t>
        </is>
      </c>
      <c r="B25579" s="8" t="n">
        <v>16</v>
      </c>
      <c r="C25579" s="8" t="n">
        <v>15</v>
      </c>
      <c r="D25579" s="8" t="inlineStr">
        <is>
          <t>Disneyland Park</t>
        </is>
      </c>
      <c r="E25579" s="8" t="inlineStr">
        <is>
          <t>Big Thunder Mountain</t>
        </is>
      </c>
      <c r="F25579" s="8" t="inlineStr">
        <is>
          <t>STANDBY</t>
        </is>
      </c>
      <c r="G25579" s="8" t="n">
        <v>45</v>
      </c>
      <c r="H25579" s="8" t="inlineStr">
        <is>
          <t>OPERATING</t>
        </is>
      </c>
    </row>
    <row r="25580">
      <c r="A25580" s="8" t="inlineStr">
        <is>
          <t>2026-08-05</t>
        </is>
      </c>
      <c r="B25580" s="8" t="n">
        <v>16</v>
      </c>
      <c r="C25580" s="8" t="n">
        <v>15</v>
      </c>
      <c r="D25580" s="8" t="inlineStr">
        <is>
          <t>Disneyland Park</t>
        </is>
      </c>
      <c r="E25580" s="8" t="inlineStr">
        <is>
          <t>Disneyland Railroad Frontierland Depot</t>
        </is>
      </c>
      <c r="F25580" s="8" t="inlineStr">
        <is>
          <t>STANDBY</t>
        </is>
      </c>
      <c r="G25580" s="8" t="n">
        <v>20</v>
      </c>
      <c r="H25580" s="8" t="inlineStr">
        <is>
          <t>OPERATING</t>
        </is>
      </c>
    </row>
    <row r="25581">
      <c r="A25581" s="8" t="inlineStr">
        <is>
          <t>2026-08-05</t>
        </is>
      </c>
      <c r="B25581" s="8" t="n">
        <v>16</v>
      </c>
      <c r="C25581" s="8" t="n">
        <v>15</v>
      </c>
      <c r="D25581" s="8" t="inlineStr">
        <is>
          <t>Disneyland Park</t>
        </is>
      </c>
      <c r="E25581" s="8" t="inlineStr">
        <is>
          <t>Frontierland Playground</t>
        </is>
      </c>
      <c r="F25581" s="8" t="inlineStr">
        <is>
          <t>STANDBY</t>
        </is>
      </c>
      <c r="G25581" s="8" t="n">
        <v>0</v>
      </c>
      <c r="H25581" s="8" t="inlineStr">
        <is>
          <t>OPERATING</t>
        </is>
      </c>
    </row>
    <row r="25582">
      <c r="A25582" s="8" t="inlineStr">
        <is>
          <t>2026-08-05</t>
        </is>
      </c>
      <c r="B25582" s="8" t="n">
        <v>16</v>
      </c>
      <c r="C25582" s="8" t="n">
        <v>15</v>
      </c>
      <c r="D25582" s="8" t="inlineStr">
        <is>
          <t>Disneyland Park</t>
        </is>
      </c>
      <c r="E25582" s="8" t="inlineStr">
        <is>
          <t>Phantom Manor</t>
        </is>
      </c>
      <c r="F25582" s="8" t="inlineStr">
        <is>
          <t>STANDBY</t>
        </is>
      </c>
      <c r="G25582" s="8" t="n">
        <v>30</v>
      </c>
      <c r="H25582" s="8" t="inlineStr">
        <is>
          <t>OPERATING</t>
        </is>
      </c>
    </row>
    <row r="25583">
      <c r="A25583" s="8" t="inlineStr">
        <is>
          <t>2026-08-05</t>
        </is>
      </c>
      <c r="B25583" s="8" t="n">
        <v>16</v>
      </c>
      <c r="C25583" s="8" t="n">
        <v>15</v>
      </c>
      <c r="D25583" s="8" t="inlineStr">
        <is>
          <t>Disneyland Park</t>
        </is>
      </c>
      <c r="E25583" s="8" t="inlineStr">
        <is>
          <t>River Rogue Keelboats</t>
        </is>
      </c>
      <c r="F25583" s="8" t="inlineStr">
        <is>
          <t>STANDBY</t>
        </is>
      </c>
      <c r="G25583" s="8" t="n">
        <v>0</v>
      </c>
      <c r="H25583" s="8" t="inlineStr">
        <is>
          <t>CLOSED</t>
        </is>
      </c>
    </row>
    <row r="25584">
      <c r="A25584" s="8" t="inlineStr">
        <is>
          <t>2026-08-05</t>
        </is>
      </c>
      <c r="B25584" s="8" t="n">
        <v>16</v>
      </c>
      <c r="C25584" s="8" t="n">
        <v>15</v>
      </c>
      <c r="D25584" s="8" t="inlineStr">
        <is>
          <t>Disneyland Park</t>
        </is>
      </c>
      <c r="E25584" s="8" t="inlineStr">
        <is>
          <t>Rustler Roundup Shootin' Gallery</t>
        </is>
      </c>
      <c r="F25584" s="8" t="inlineStr">
        <is>
          <t>STANDBY</t>
        </is>
      </c>
      <c r="G25584" s="8" t="n">
        <v>0</v>
      </c>
      <c r="H25584" s="8" t="inlineStr">
        <is>
          <t>OPERATING</t>
        </is>
      </c>
    </row>
    <row r="25585">
      <c r="A25585" s="8" t="inlineStr">
        <is>
          <t>2026-08-05</t>
        </is>
      </c>
      <c r="B25585" s="8" t="n">
        <v>16</v>
      </c>
      <c r="C25585" s="8" t="n">
        <v>15</v>
      </c>
      <c r="D25585" s="8" t="inlineStr">
        <is>
          <t>Disneyland Park</t>
        </is>
      </c>
      <c r="E25585" s="8" t="inlineStr">
        <is>
          <t>Thunder Mesa Riverboat Landing</t>
        </is>
      </c>
      <c r="F25585" s="8" t="inlineStr">
        <is>
          <t>STANDBY</t>
        </is>
      </c>
      <c r="G25585" s="8" t="n">
        <v>20</v>
      </c>
      <c r="H25585" s="8" t="inlineStr">
        <is>
          <t>OPERATING</t>
        </is>
      </c>
    </row>
    <row r="25586">
      <c r="A25586" s="8" t="inlineStr">
        <is>
          <t>2026-08-05</t>
        </is>
      </c>
      <c r="B25586" s="8" t="n">
        <v>16</v>
      </c>
      <c r="C25586" s="8" t="n">
        <v>15</v>
      </c>
      <c r="D25586" s="8" t="inlineStr">
        <is>
          <t>Disneyland Park</t>
        </is>
      </c>
      <c r="E25586" s="8" t="inlineStr">
        <is>
          <t>Disneyland Railroad Main Street Station</t>
        </is>
      </c>
      <c r="F25586" s="8" t="inlineStr">
        <is>
          <t>STANDBY</t>
        </is>
      </c>
      <c r="G25586" s="8" t="n">
        <v>0</v>
      </c>
      <c r="H25586" s="8" t="inlineStr">
        <is>
          <t>OPERATING</t>
        </is>
      </c>
    </row>
    <row r="25587">
      <c r="A25587" s="8" t="inlineStr">
        <is>
          <t>2026-08-05</t>
        </is>
      </c>
      <c r="B25587" s="8" t="n">
        <v>16</v>
      </c>
      <c r="C25587" s="8" t="n">
        <v>15</v>
      </c>
      <c r="D25587" s="8" t="inlineStr">
        <is>
          <t>Disneyland Park</t>
        </is>
      </c>
      <c r="E25587" s="8" t="inlineStr">
        <is>
          <t>Main Street Vehicles</t>
        </is>
      </c>
      <c r="F25587" s="8" t="inlineStr">
        <is>
          <t>STANDBY</t>
        </is>
      </c>
      <c r="G25587" s="8" t="n">
        <v>0</v>
      </c>
      <c r="H25587" s="8" t="inlineStr">
        <is>
          <t>CLOSED</t>
        </is>
      </c>
    </row>
    <row r="25588">
      <c r="A25588" s="8" t="inlineStr">
        <is>
          <t>2026-08-05</t>
        </is>
      </c>
      <c r="B25588" s="8" t="n">
        <v>16</v>
      </c>
      <c r="C25588" s="8" t="n">
        <v>15</v>
      </c>
      <c r="D25588" s="8" t="inlineStr">
        <is>
          <t>Disney Adventure World</t>
        </is>
      </c>
      <c r="E25588" s="8" t="inlineStr">
        <is>
          <t>Avengers Assemble: Flight Force</t>
        </is>
      </c>
      <c r="F25588" s="8" t="inlineStr">
        <is>
          <t>STANDBY</t>
        </is>
      </c>
      <c r="G25588" s="8" t="n">
        <v>20</v>
      </c>
      <c r="H25588" s="8" t="inlineStr">
        <is>
          <t>OPERATING</t>
        </is>
      </c>
    </row>
    <row r="25589">
      <c r="A25589" s="8" t="inlineStr">
        <is>
          <t>2026-08-05</t>
        </is>
      </c>
      <c r="B25589" s="8" t="n">
        <v>16</v>
      </c>
      <c r="C25589" s="8" t="n">
        <v>15</v>
      </c>
      <c r="D25589" s="8" t="inlineStr">
        <is>
          <t>Disney Adventure World</t>
        </is>
      </c>
      <c r="E25589" s="8" t="inlineStr">
        <is>
          <t>Avengers Assemble: Flight Force Single Rider</t>
        </is>
      </c>
      <c r="F25589" s="8" t="inlineStr">
        <is>
          <t>STANDBY</t>
        </is>
      </c>
      <c r="G25589" s="8" t="n">
        <v>15</v>
      </c>
      <c r="H25589" s="8" t="inlineStr">
        <is>
          <t>OPERATING</t>
        </is>
      </c>
    </row>
    <row r="25590">
      <c r="A25590" s="8" t="inlineStr">
        <is>
          <t>2026-08-05</t>
        </is>
      </c>
      <c r="B25590" s="8" t="n">
        <v>16</v>
      </c>
      <c r="C25590" s="8" t="n">
        <v>15</v>
      </c>
      <c r="D25590" s="8" t="inlineStr">
        <is>
          <t>Disney Adventure World</t>
        </is>
      </c>
      <c r="E25590" s="8" t="inlineStr">
        <is>
          <t>Spider-Man W.E.B. Adventure</t>
        </is>
      </c>
      <c r="F25590" s="8" t="inlineStr">
        <is>
          <t>STANDBY</t>
        </is>
      </c>
      <c r="G25590" s="8" t="n">
        <v>50</v>
      </c>
      <c r="H25590" s="8" t="inlineStr">
        <is>
          <t>OPERATING</t>
        </is>
      </c>
    </row>
    <row r="25591">
      <c r="A25591" s="8" t="inlineStr">
        <is>
          <t>2026-08-05</t>
        </is>
      </c>
      <c r="B25591" s="8" t="n">
        <v>16</v>
      </c>
      <c r="C25591" s="8" t="n">
        <v>15</v>
      </c>
      <c r="D25591" s="8" t="inlineStr">
        <is>
          <t>Disney Adventure World</t>
        </is>
      </c>
      <c r="E25591" s="8" t="inlineStr">
        <is>
          <t>Spider-Man W.E.B. Adventure Single Rider</t>
        </is>
      </c>
      <c r="F25591" s="8" t="inlineStr">
        <is>
          <t>STANDBY</t>
        </is>
      </c>
      <c r="G25591" s="8" t="n">
        <v>20</v>
      </c>
      <c r="H25591" s="8" t="inlineStr">
        <is>
          <t>OPERATING</t>
        </is>
      </c>
    </row>
    <row r="25592">
      <c r="A25592" s="8" t="inlineStr">
        <is>
          <t>2026-08-05</t>
        </is>
      </c>
      <c r="B25592" s="8" t="n">
        <v>16</v>
      </c>
      <c r="C25592" s="8" t="n">
        <v>15</v>
      </c>
      <c r="D25592" s="8" t="inlineStr">
        <is>
          <t>Disney Adventure World</t>
        </is>
      </c>
      <c r="E25592" s="8" t="inlineStr">
        <is>
          <t>The Twilight Zone Tower of Terror</t>
        </is>
      </c>
      <c r="F25592" s="8" t="inlineStr">
        <is>
          <t>STANDBY</t>
        </is>
      </c>
      <c r="G25592" s="8" t="n">
        <v>45</v>
      </c>
      <c r="H25592" s="8" t="inlineStr">
        <is>
          <t>OPERATING</t>
        </is>
      </c>
    </row>
    <row r="25593">
      <c r="A25593" s="8" t="inlineStr">
        <is>
          <t>2026-08-05</t>
        </is>
      </c>
      <c r="B25593" s="8" t="n">
        <v>16</v>
      </c>
      <c r="C25593" s="8" t="n">
        <v>15</v>
      </c>
      <c r="D25593" s="8" t="inlineStr">
        <is>
          <t>Disney Adventure World</t>
        </is>
      </c>
      <c r="E25593" s="8" t="inlineStr">
        <is>
          <t>Cars Quatre Roues Rallye</t>
        </is>
      </c>
      <c r="F25593" s="8" t="inlineStr">
        <is>
          <t>STANDBY</t>
        </is>
      </c>
      <c r="G25593" s="8" t="n">
        <v>10</v>
      </c>
      <c r="H25593" s="8" t="inlineStr">
        <is>
          <t>OPERATING</t>
        </is>
      </c>
    </row>
    <row r="25594">
      <c r="A25594" s="8" t="inlineStr">
        <is>
          <t>2026-08-05</t>
        </is>
      </c>
      <c r="B25594" s="8" t="n">
        <v>16</v>
      </c>
      <c r="C25594" s="8" t="n">
        <v>15</v>
      </c>
      <c r="D25594" s="8" t="inlineStr">
        <is>
          <t>Disney Adventure World</t>
        </is>
      </c>
      <c r="E25594" s="8" t="inlineStr">
        <is>
          <t>Cars ROAD TRIP</t>
        </is>
      </c>
      <c r="F25594" s="8" t="inlineStr">
        <is>
          <t>STANDBY</t>
        </is>
      </c>
      <c r="G25594" s="8" t="n">
        <v>10</v>
      </c>
      <c r="H25594" s="8" t="inlineStr">
        <is>
          <t>OPERATING</t>
        </is>
      </c>
    </row>
    <row r="25595">
      <c r="A25595" s="8" t="inlineStr">
        <is>
          <t>2026-08-05</t>
        </is>
      </c>
      <c r="B25595" s="8" t="n">
        <v>16</v>
      </c>
      <c r="C25595" s="8" t="n">
        <v>15</v>
      </c>
      <c r="D25595" s="8" t="inlineStr">
        <is>
          <t>Disney Adventure World</t>
        </is>
      </c>
      <c r="E25595" s="8" t="inlineStr">
        <is>
          <t>Crush's Coaster</t>
        </is>
      </c>
      <c r="F25595" s="8" t="inlineStr">
        <is>
          <t>STANDBY</t>
        </is>
      </c>
      <c r="G25595" s="8" t="n">
        <v>75</v>
      </c>
      <c r="H25595" s="8" t="inlineStr">
        <is>
          <t>OPERATING</t>
        </is>
      </c>
    </row>
    <row r="25596">
      <c r="A25596" s="8" t="inlineStr">
        <is>
          <t>2026-08-05</t>
        </is>
      </c>
      <c r="B25596" s="8" t="n">
        <v>16</v>
      </c>
      <c r="C25596" s="8" t="n">
        <v>15</v>
      </c>
      <c r="D25596" s="8" t="inlineStr">
        <is>
          <t>Disney Adventure World</t>
        </is>
      </c>
      <c r="E25596" s="8" t="inlineStr">
        <is>
          <t>Crush's Coaster Single Rider</t>
        </is>
      </c>
      <c r="F25596" s="8" t="inlineStr">
        <is>
          <t>STANDBY</t>
        </is>
      </c>
      <c r="G25596" s="8" t="n">
        <v>50</v>
      </c>
      <c r="H25596" s="8" t="inlineStr">
        <is>
          <t>OPERATING</t>
        </is>
      </c>
    </row>
    <row r="25597">
      <c r="A25597" s="8" t="inlineStr">
        <is>
          <t>2026-08-05</t>
        </is>
      </c>
      <c r="B25597" s="8" t="n">
        <v>16</v>
      </c>
      <c r="C25597" s="8" t="n">
        <v>15</v>
      </c>
      <c r="D25597" s="8" t="inlineStr">
        <is>
          <t>Disney Adventure World</t>
        </is>
      </c>
      <c r="E25597" s="8" t="inlineStr">
        <is>
          <t>Les Tapis Volants - Flying Carpets Over Agrabah®</t>
        </is>
      </c>
      <c r="F25597" s="8" t="inlineStr">
        <is>
          <t>STANDBY</t>
        </is>
      </c>
      <c r="G25597" s="8" t="n">
        <v>25</v>
      </c>
      <c r="H25597" s="8" t="inlineStr">
        <is>
          <t>OPERATING</t>
        </is>
      </c>
    </row>
    <row r="25598">
      <c r="A25598" s="8" t="inlineStr">
        <is>
          <t>2026-08-05</t>
        </is>
      </c>
      <c r="B25598" s="8" t="n">
        <v>16</v>
      </c>
      <c r="C25598" s="8" t="n">
        <v>15</v>
      </c>
      <c r="D25598" s="8" t="inlineStr">
        <is>
          <t>Disney Adventure World</t>
        </is>
      </c>
      <c r="E25598" s="8" t="inlineStr">
        <is>
          <t>Ratatouille : L’Aventure Totalement Toquée de Rémy​</t>
        </is>
      </c>
      <c r="F25598" s="8" t="inlineStr">
        <is>
          <t>STANDBY</t>
        </is>
      </c>
      <c r="G25598" s="8" t="n">
        <v>50</v>
      </c>
      <c r="H25598" s="8" t="inlineStr">
        <is>
          <t>OPERATING</t>
        </is>
      </c>
    </row>
    <row r="25599">
      <c r="A25599" s="8" t="inlineStr">
        <is>
          <t>2026-08-05</t>
        </is>
      </c>
      <c r="B25599" s="8" t="n">
        <v>16</v>
      </c>
      <c r="C25599" s="8" t="n">
        <v>15</v>
      </c>
      <c r="D25599" s="8" t="inlineStr">
        <is>
          <t>Disney Adventure World</t>
        </is>
      </c>
      <c r="E25599" s="8" t="inlineStr">
        <is>
          <t>Ratatouille: The Adventure Single Rider</t>
        </is>
      </c>
      <c r="F25599" s="8" t="inlineStr">
        <is>
          <t>STANDBY</t>
        </is>
      </c>
      <c r="G25599" s="8" t="n">
        <v>35</v>
      </c>
      <c r="H25599" s="8" t="inlineStr">
        <is>
          <t>OPERATING</t>
        </is>
      </c>
    </row>
    <row r="25600">
      <c r="A25600" s="8" t="inlineStr">
        <is>
          <t>2026-08-05</t>
        </is>
      </c>
      <c r="B25600" s="8" t="n">
        <v>16</v>
      </c>
      <c r="C25600" s="8" t="n">
        <v>15</v>
      </c>
      <c r="D25600" s="8" t="inlineStr">
        <is>
          <t>Disney Adventure World</t>
        </is>
      </c>
      <c r="E25600" s="8" t="inlineStr">
        <is>
          <t>RC Racer</t>
        </is>
      </c>
      <c r="F25600" s="8" t="inlineStr">
        <is>
          <t>STANDBY</t>
        </is>
      </c>
      <c r="G25600" s="8" t="n">
        <v>50</v>
      </c>
      <c r="H25600" s="8" t="inlineStr">
        <is>
          <t>OPERATING</t>
        </is>
      </c>
    </row>
    <row r="25601">
      <c r="A25601" s="8" t="inlineStr">
        <is>
          <t>2026-08-05</t>
        </is>
      </c>
      <c r="B25601" s="8" t="n">
        <v>16</v>
      </c>
      <c r="C25601" s="8" t="n">
        <v>15</v>
      </c>
      <c r="D25601" s="8" t="inlineStr">
        <is>
          <t>Disney Adventure World</t>
        </is>
      </c>
      <c r="E25601" s="8" t="inlineStr">
        <is>
          <t>RC Racer Single Rider</t>
        </is>
      </c>
      <c r="F25601" s="8" t="inlineStr">
        <is>
          <t>STANDBY</t>
        </is>
      </c>
      <c r="G25601" s="8" t="n">
        <v>45</v>
      </c>
      <c r="H25601" s="8" t="inlineStr">
        <is>
          <t>OPERATING</t>
        </is>
      </c>
    </row>
    <row r="25602">
      <c r="A25602" s="8" t="inlineStr">
        <is>
          <t>2026-08-05</t>
        </is>
      </c>
      <c r="B25602" s="8" t="n">
        <v>16</v>
      </c>
      <c r="C25602" s="8" t="n">
        <v>15</v>
      </c>
      <c r="D25602" s="8" t="inlineStr">
        <is>
          <t>Disney Adventure World</t>
        </is>
      </c>
      <c r="E25602" s="8" t="inlineStr">
        <is>
          <t>Slinky® Dog Zigzag Spin</t>
        </is>
      </c>
      <c r="F25602" s="8" t="inlineStr">
        <is>
          <t>STANDBY</t>
        </is>
      </c>
      <c r="G25602" s="8" t="n">
        <v>15</v>
      </c>
      <c r="H25602" s="8" t="inlineStr">
        <is>
          <t>OPERATING</t>
        </is>
      </c>
    </row>
    <row r="25603">
      <c r="A25603" s="8" t="inlineStr">
        <is>
          <t>2026-08-05</t>
        </is>
      </c>
      <c r="B25603" s="8" t="n">
        <v>16</v>
      </c>
      <c r="C25603" s="8" t="n">
        <v>15</v>
      </c>
      <c r="D25603" s="8" t="inlineStr">
        <is>
          <t>Disney Adventure World</t>
        </is>
      </c>
      <c r="E25603" s="8" t="inlineStr">
        <is>
          <t>Toy Soldiers Parachute Drop</t>
        </is>
      </c>
      <c r="F25603" s="8" t="inlineStr">
        <is>
          <t>STANDBY</t>
        </is>
      </c>
      <c r="G25603" s="8" t="n">
        <v>35</v>
      </c>
      <c r="H25603" s="8" t="inlineStr">
        <is>
          <t>OPERATING</t>
        </is>
      </c>
    </row>
    <row r="25604">
      <c r="A25604" s="8" t="inlineStr">
        <is>
          <t>2026-08-05</t>
        </is>
      </c>
      <c r="B25604" s="8" t="n">
        <v>16</v>
      </c>
      <c r="C25604" s="8" t="n">
        <v>15</v>
      </c>
      <c r="D25604" s="8" t="inlineStr">
        <is>
          <t>Disney Adventure World</t>
        </is>
      </c>
      <c r="E25604" s="8" t="inlineStr">
        <is>
          <t>Toy Soldiers Parachute Drop Single Rider</t>
        </is>
      </c>
      <c r="F25604" s="8" t="inlineStr">
        <is>
          <t>STANDBY</t>
        </is>
      </c>
      <c r="G25604" s="8" t="n">
        <v>15</v>
      </c>
      <c r="H25604" s="8" t="inlineStr">
        <is>
          <t>OPERATING</t>
        </is>
      </c>
    </row>
    <row r="25605">
      <c r="A25605" s="8" t="inlineStr">
        <is>
          <t>2026-08-05</t>
        </is>
      </c>
      <c r="B25605" s="8" t="n">
        <v>16</v>
      </c>
      <c r="C25605" s="8" t="n">
        <v>15</v>
      </c>
      <c r="D25605" s="8" t="inlineStr">
        <is>
          <t>Disney Adventure World</t>
        </is>
      </c>
      <c r="E25605" s="8" t="inlineStr">
        <is>
          <t>Entry to World of Frozen</t>
        </is>
      </c>
      <c r="F25605" s="8" t="inlineStr">
        <is>
          <t>STANDBY</t>
        </is>
      </c>
      <c r="G25605" s="8" t="n">
        <v>0</v>
      </c>
      <c r="H25605" s="8" t="inlineStr">
        <is>
          <t>OPERATING</t>
        </is>
      </c>
    </row>
    <row r="25606">
      <c r="A25606" s="8" t="inlineStr">
        <is>
          <t>2026-08-05</t>
        </is>
      </c>
      <c r="B25606" s="8" t="n">
        <v>16</v>
      </c>
      <c r="C25606" s="8" t="n">
        <v>15</v>
      </c>
      <c r="D25606" s="8" t="inlineStr">
        <is>
          <t>Disney Adventure World</t>
        </is>
      </c>
      <c r="E25606" s="8" t="inlineStr">
        <is>
          <t>Frozen Ever After</t>
        </is>
      </c>
      <c r="F25606" s="8" t="inlineStr">
        <is>
          <t>STANDBY</t>
        </is>
      </c>
      <c r="G25606" s="8" t="n">
        <v>80</v>
      </c>
      <c r="H25606" s="8" t="inlineStr">
        <is>
          <t>OPERATING</t>
        </is>
      </c>
    </row>
    <row r="25607">
      <c r="A25607" s="8" t="inlineStr">
        <is>
          <t>2026-08-05</t>
        </is>
      </c>
      <c r="B25607" s="8" t="n">
        <v>16</v>
      </c>
      <c r="C25607" s="8" t="n">
        <v>15</v>
      </c>
      <c r="D25607" s="8" t="inlineStr">
        <is>
          <t>Disney Adventure World</t>
        </is>
      </c>
      <c r="E25607" s="8" t="inlineStr">
        <is>
          <t>Raiponce Tangled Spin</t>
        </is>
      </c>
      <c r="F25607" s="8" t="inlineStr">
        <is>
          <t>STANDBY</t>
        </is>
      </c>
      <c r="G25607" s="8" t="n">
        <v>10</v>
      </c>
      <c r="H25607" s="8" t="inlineStr">
        <is>
          <t>OPERATING</t>
        </is>
      </c>
    </row>
    <row r="25608">
      <c r="A25608" s="8" t="inlineStr">
        <is>
          <t>2026-08-05</t>
        </is>
      </c>
      <c r="B25608" s="8" t="n">
        <v>16</v>
      </c>
      <c r="C25608" s="8" t="n">
        <v>31</v>
      </c>
      <c r="D25608" s="8" t="inlineStr">
        <is>
          <t>Disneyland Park</t>
        </is>
      </c>
      <c r="E25608" s="8" t="inlineStr">
        <is>
          <t>Adventure Isle</t>
        </is>
      </c>
      <c r="F25608" s="8" t="inlineStr">
        <is>
          <t>STANDBY</t>
        </is>
      </c>
      <c r="G25608" s="8" t="n">
        <v>0</v>
      </c>
      <c r="H25608" s="8" t="inlineStr">
        <is>
          <t>OPERATING</t>
        </is>
      </c>
    </row>
    <row r="25609">
      <c r="A25609" s="8" t="inlineStr">
        <is>
          <t>2026-08-05</t>
        </is>
      </c>
      <c r="B25609" s="8" t="n">
        <v>16</v>
      </c>
      <c r="C25609" s="8" t="n">
        <v>31</v>
      </c>
      <c r="D25609" s="8" t="inlineStr">
        <is>
          <t>Disneyland Park</t>
        </is>
      </c>
      <c r="E25609" s="8" t="inlineStr">
        <is>
          <t>Indiana Jones and the Temple of Peril Single Rider</t>
        </is>
      </c>
      <c r="F25609" s="8" t="inlineStr">
        <is>
          <t>STANDBY</t>
        </is>
      </c>
      <c r="G25609" s="8" t="n">
        <v>20</v>
      </c>
      <c r="H25609" s="8" t="inlineStr">
        <is>
          <t>OPERATING</t>
        </is>
      </c>
    </row>
    <row r="25610">
      <c r="A25610" s="8" t="inlineStr">
        <is>
          <t>2026-08-05</t>
        </is>
      </c>
      <c r="B25610" s="8" t="n">
        <v>16</v>
      </c>
      <c r="C25610" s="8" t="n">
        <v>31</v>
      </c>
      <c r="D25610" s="8" t="inlineStr">
        <is>
          <t>Disneyland Park</t>
        </is>
      </c>
      <c r="E25610" s="8" t="inlineStr">
        <is>
          <t>Indiana Jones™ and the Temple of Peril</t>
        </is>
      </c>
      <c r="F25610" s="8" t="inlineStr">
        <is>
          <t>STANDBY</t>
        </is>
      </c>
      <c r="G25610" s="8" t="n">
        <v>25</v>
      </c>
      <c r="H25610" s="8" t="inlineStr">
        <is>
          <t>OPERATING</t>
        </is>
      </c>
    </row>
    <row r="25611">
      <c r="A25611" s="8" t="inlineStr">
        <is>
          <t>2026-08-05</t>
        </is>
      </c>
      <c r="B25611" s="8" t="n">
        <v>16</v>
      </c>
      <c r="C25611" s="8" t="n">
        <v>31</v>
      </c>
      <c r="D25611" s="8" t="inlineStr">
        <is>
          <t>Disneyland Park</t>
        </is>
      </c>
      <c r="E25611" s="8" t="inlineStr">
        <is>
          <t>La Cabane des Robinson</t>
        </is>
      </c>
      <c r="F25611" s="8" t="inlineStr">
        <is>
          <t>STANDBY</t>
        </is>
      </c>
      <c r="G25611" s="8" t="n">
        <v>5</v>
      </c>
      <c r="H25611" s="8" t="inlineStr">
        <is>
          <t>OPERATING</t>
        </is>
      </c>
    </row>
    <row r="25612">
      <c r="A25612" s="8" t="inlineStr">
        <is>
          <t>2026-08-05</t>
        </is>
      </c>
      <c r="B25612" s="8" t="n">
        <v>16</v>
      </c>
      <c r="C25612" s="8" t="n">
        <v>31</v>
      </c>
      <c r="D25612" s="8" t="inlineStr">
        <is>
          <t>Disneyland Park</t>
        </is>
      </c>
      <c r="E25612" s="8" t="inlineStr">
        <is>
          <t>Le Passage Enchanté d'Aladdin</t>
        </is>
      </c>
      <c r="F25612" s="8" t="inlineStr">
        <is>
          <t>STANDBY</t>
        </is>
      </c>
      <c r="G25612" s="8" t="n">
        <v>0</v>
      </c>
      <c r="H25612" s="8" t="inlineStr">
        <is>
          <t>OPERATING</t>
        </is>
      </c>
    </row>
    <row r="25613">
      <c r="A25613" s="8" t="inlineStr">
        <is>
          <t>2026-08-05</t>
        </is>
      </c>
      <c r="B25613" s="8" t="n">
        <v>16</v>
      </c>
      <c r="C25613" s="8" t="n">
        <v>31</v>
      </c>
      <c r="D25613" s="8" t="inlineStr">
        <is>
          <t>Disneyland Park</t>
        </is>
      </c>
      <c r="E25613" s="8" t="inlineStr">
        <is>
          <t>Pirate Galleon</t>
        </is>
      </c>
      <c r="F25613" s="8" t="inlineStr">
        <is>
          <t>STANDBY</t>
        </is>
      </c>
      <c r="G25613" s="8" t="n">
        <v>0</v>
      </c>
      <c r="H25613" s="8" t="inlineStr">
        <is>
          <t>CLOSED</t>
        </is>
      </c>
    </row>
    <row r="25614">
      <c r="A25614" s="8" t="inlineStr">
        <is>
          <t>2026-08-05</t>
        </is>
      </c>
      <c r="B25614" s="8" t="n">
        <v>16</v>
      </c>
      <c r="C25614" s="8" t="n">
        <v>31</v>
      </c>
      <c r="D25614" s="8" t="inlineStr">
        <is>
          <t>Disneyland Park</t>
        </is>
      </c>
      <c r="E25614" s="8" t="inlineStr">
        <is>
          <t>Pirates of the Caribbean</t>
        </is>
      </c>
      <c r="F25614" s="8" t="inlineStr">
        <is>
          <t>STANDBY</t>
        </is>
      </c>
      <c r="G25614" s="8" t="n">
        <v>20</v>
      </c>
      <c r="H25614" s="8" t="inlineStr">
        <is>
          <t>OPERATING</t>
        </is>
      </c>
    </row>
    <row r="25615">
      <c r="A25615" s="8" t="inlineStr">
        <is>
          <t>2026-08-05</t>
        </is>
      </c>
      <c r="B25615" s="8" t="n">
        <v>16</v>
      </c>
      <c r="C25615" s="8" t="n">
        <v>31</v>
      </c>
      <c r="D25615" s="8" t="inlineStr">
        <is>
          <t>Disneyland Park</t>
        </is>
      </c>
      <c r="E25615" s="8" t="inlineStr">
        <is>
          <t>Pirates' Beach</t>
        </is>
      </c>
      <c r="F25615" s="8" t="inlineStr">
        <is>
          <t>STANDBY</t>
        </is>
      </c>
      <c r="G25615" s="8" t="n">
        <v>0</v>
      </c>
      <c r="H25615" s="8" t="inlineStr">
        <is>
          <t>OPERATING</t>
        </is>
      </c>
    </row>
    <row r="25616">
      <c r="A25616" s="8" t="inlineStr">
        <is>
          <t>2026-08-05</t>
        </is>
      </c>
      <c r="B25616" s="8" t="n">
        <v>16</v>
      </c>
      <c r="C25616" s="8" t="n">
        <v>31</v>
      </c>
      <c r="D25616" s="8" t="inlineStr">
        <is>
          <t>Disneyland Park</t>
        </is>
      </c>
      <c r="E25616" s="8" t="inlineStr">
        <is>
          <t>Autopia, presented by Avis</t>
        </is>
      </c>
      <c r="F25616" s="8" t="inlineStr">
        <is>
          <t>STANDBY</t>
        </is>
      </c>
      <c r="G25616" s="8" t="n">
        <v>25</v>
      </c>
      <c r="H25616" s="8" t="inlineStr">
        <is>
          <t>OPERATING</t>
        </is>
      </c>
    </row>
    <row r="25617">
      <c r="A25617" s="8" t="inlineStr">
        <is>
          <t>2026-08-05</t>
        </is>
      </c>
      <c r="B25617" s="8" t="n">
        <v>16</v>
      </c>
      <c r="C25617" s="8" t="n">
        <v>31</v>
      </c>
      <c r="D25617" s="8" t="inlineStr">
        <is>
          <t>Disneyland Park</t>
        </is>
      </c>
      <c r="E25617" s="8" t="inlineStr">
        <is>
          <t>Buzz Lightyear Laser Blast</t>
        </is>
      </c>
      <c r="F25617" s="8" t="inlineStr">
        <is>
          <t>STANDBY</t>
        </is>
      </c>
      <c r="G25617" s="8" t="n">
        <v>30</v>
      </c>
      <c r="H25617" s="8" t="inlineStr">
        <is>
          <t>OPERATING</t>
        </is>
      </c>
    </row>
    <row r="25618">
      <c r="A25618" s="8" t="inlineStr">
        <is>
          <t>2026-08-05</t>
        </is>
      </c>
      <c r="B25618" s="8" t="n">
        <v>16</v>
      </c>
      <c r="C25618" s="8" t="n">
        <v>31</v>
      </c>
      <c r="D25618" s="8" t="inlineStr">
        <is>
          <t>Disneyland Park</t>
        </is>
      </c>
      <c r="E25618" s="8" t="inlineStr">
        <is>
          <t>Disneyland Railroad Discoveryland Station</t>
        </is>
      </c>
      <c r="F25618" s="8" t="inlineStr">
        <is>
          <t>STANDBY</t>
        </is>
      </c>
      <c r="G25618" s="8" t="n">
        <v>0</v>
      </c>
      <c r="H25618" s="8" t="inlineStr">
        <is>
          <t>CLOSED</t>
        </is>
      </c>
    </row>
    <row r="25619">
      <c r="A25619" s="8" t="inlineStr">
        <is>
          <t>2026-08-05</t>
        </is>
      </c>
      <c r="B25619" s="8" t="n">
        <v>16</v>
      </c>
      <c r="C25619" s="8" t="n">
        <v>31</v>
      </c>
      <c r="D25619" s="8" t="inlineStr">
        <is>
          <t>Disneyland Park</t>
        </is>
      </c>
      <c r="E25619" s="8" t="inlineStr">
        <is>
          <t>Les Mystères du Nautilus</t>
        </is>
      </c>
      <c r="F25619" s="8" t="inlineStr">
        <is>
          <t>STANDBY</t>
        </is>
      </c>
      <c r="G25619" s="8" t="n">
        <v>5</v>
      </c>
      <c r="H25619" s="8" t="inlineStr">
        <is>
          <t>OPERATING</t>
        </is>
      </c>
    </row>
    <row r="25620">
      <c r="A25620" s="8" t="inlineStr">
        <is>
          <t>2026-08-05</t>
        </is>
      </c>
      <c r="B25620" s="8" t="n">
        <v>16</v>
      </c>
      <c r="C25620" s="8" t="n">
        <v>31</v>
      </c>
      <c r="D25620" s="8" t="inlineStr">
        <is>
          <t>Disneyland Park</t>
        </is>
      </c>
      <c r="E25620" s="8" t="inlineStr">
        <is>
          <t>Mickey’s PhilharMagic</t>
        </is>
      </c>
      <c r="F25620" s="8" t="inlineStr">
        <is>
          <t>STANDBY</t>
        </is>
      </c>
      <c r="G25620" s="8" t="n">
        <v>0</v>
      </c>
      <c r="H25620" s="8" t="inlineStr">
        <is>
          <t>OPERATING</t>
        </is>
      </c>
    </row>
    <row r="25621">
      <c r="A25621" s="8" t="inlineStr">
        <is>
          <t>2026-08-05</t>
        </is>
      </c>
      <c r="B25621" s="8" t="n">
        <v>16</v>
      </c>
      <c r="C25621" s="8" t="n">
        <v>31</v>
      </c>
      <c r="D25621" s="8" t="inlineStr">
        <is>
          <t>Disneyland Park</t>
        </is>
      </c>
      <c r="E25621" s="8" t="inlineStr">
        <is>
          <t>Orbitron®</t>
        </is>
      </c>
      <c r="F25621" s="8" t="inlineStr">
        <is>
          <t>STANDBY</t>
        </is>
      </c>
      <c r="G25621" s="8" t="n">
        <v>50</v>
      </c>
      <c r="H25621" s="8" t="inlineStr">
        <is>
          <t>OPERATING</t>
        </is>
      </c>
    </row>
    <row r="25622">
      <c r="A25622" s="8" t="inlineStr">
        <is>
          <t>2026-08-05</t>
        </is>
      </c>
      <c r="B25622" s="8" t="n">
        <v>16</v>
      </c>
      <c r="C25622" s="8" t="n">
        <v>31</v>
      </c>
      <c r="D25622" s="8" t="inlineStr">
        <is>
          <t>Disneyland Park</t>
        </is>
      </c>
      <c r="E25622" s="8" t="inlineStr">
        <is>
          <t>Star Tours: The Adventures Continue*</t>
        </is>
      </c>
      <c r="F25622" s="8" t="inlineStr">
        <is>
          <t>STANDBY</t>
        </is>
      </c>
      <c r="G25622" s="8" t="n">
        <v>15</v>
      </c>
      <c r="H25622" s="8" t="inlineStr">
        <is>
          <t>OPERATING</t>
        </is>
      </c>
    </row>
    <row r="25623">
      <c r="A25623" s="8" t="inlineStr">
        <is>
          <t>2026-08-05</t>
        </is>
      </c>
      <c r="B25623" s="8" t="n">
        <v>16</v>
      </c>
      <c r="C25623" s="8" t="n">
        <v>31</v>
      </c>
      <c r="D25623" s="8" t="inlineStr">
        <is>
          <t>Disneyland Park</t>
        </is>
      </c>
      <c r="E25623" s="8" t="inlineStr">
        <is>
          <t>Star Wars Hyperspace Mountain</t>
        </is>
      </c>
      <c r="F25623" s="8" t="inlineStr">
        <is>
          <t>STANDBY</t>
        </is>
      </c>
      <c r="G25623" s="8" t="n">
        <v>40</v>
      </c>
      <c r="H25623" s="8" t="inlineStr">
        <is>
          <t>OPERATING</t>
        </is>
      </c>
    </row>
    <row r="25624">
      <c r="A25624" s="8" t="inlineStr">
        <is>
          <t>2026-08-05</t>
        </is>
      </c>
      <c r="B25624" s="8" t="n">
        <v>16</v>
      </c>
      <c r="C25624" s="8" t="n">
        <v>31</v>
      </c>
      <c r="D25624" s="8" t="inlineStr">
        <is>
          <t>Disneyland Park</t>
        </is>
      </c>
      <c r="E25624" s="8" t="inlineStr">
        <is>
          <t>Star Wars Hyperspace Mountain Single Rider</t>
        </is>
      </c>
      <c r="F25624" s="8" t="inlineStr">
        <is>
          <t>STANDBY</t>
        </is>
      </c>
      <c r="G25624" s="8" t="n">
        <v>30</v>
      </c>
      <c r="H25624" s="8" t="inlineStr">
        <is>
          <t>OPERATING</t>
        </is>
      </c>
    </row>
    <row r="25625">
      <c r="A25625" s="8" t="inlineStr">
        <is>
          <t>2026-08-05</t>
        </is>
      </c>
      <c r="B25625" s="8" t="n">
        <v>16</v>
      </c>
      <c r="C25625" s="8" t="n">
        <v>31</v>
      </c>
      <c r="D25625" s="8" t="inlineStr">
        <is>
          <t>Disneyland Park</t>
        </is>
      </c>
      <c r="E25625" s="8" t="inlineStr">
        <is>
          <t>Welcome to Starport: A Star Wars Encounter</t>
        </is>
      </c>
      <c r="F25625" s="8" t="inlineStr">
        <is>
          <t>STANDBY</t>
        </is>
      </c>
      <c r="G25625" s="8" t="n">
        <v>20</v>
      </c>
      <c r="H25625" s="8" t="inlineStr">
        <is>
          <t>OPERATING</t>
        </is>
      </c>
    </row>
    <row r="25626">
      <c r="A25626" s="8" t="inlineStr">
        <is>
          <t>2026-08-05</t>
        </is>
      </c>
      <c r="B25626" s="8" t="n">
        <v>16</v>
      </c>
      <c r="C25626" s="8" t="n">
        <v>31</v>
      </c>
      <c r="D25626" s="8" t="inlineStr">
        <is>
          <t>Disneyland Park</t>
        </is>
      </c>
      <c r="E25626" s="8" t="inlineStr">
        <is>
          <t>"it's a small world"</t>
        </is>
      </c>
      <c r="F25626" s="8" t="inlineStr">
        <is>
          <t>STANDBY</t>
        </is>
      </c>
      <c r="G25626" s="8" t="n">
        <v>10</v>
      </c>
      <c r="H25626" s="8" t="inlineStr">
        <is>
          <t>OPERATING</t>
        </is>
      </c>
    </row>
    <row r="25627">
      <c r="A25627" s="8" t="inlineStr">
        <is>
          <t>2026-08-05</t>
        </is>
      </c>
      <c r="B25627" s="8" t="n">
        <v>16</v>
      </c>
      <c r="C25627" s="8" t="n">
        <v>31</v>
      </c>
      <c r="D25627" s="8" t="inlineStr">
        <is>
          <t>Disneyland Park</t>
        </is>
      </c>
      <c r="E25627" s="8" t="inlineStr">
        <is>
          <t>Alice's Curious Labyrinth</t>
        </is>
      </c>
      <c r="F25627" s="8" t="inlineStr">
        <is>
          <t>STANDBY</t>
        </is>
      </c>
      <c r="G25627" s="8" t="n">
        <v>5</v>
      </c>
      <c r="H25627" s="8" t="inlineStr">
        <is>
          <t>OPERATING</t>
        </is>
      </c>
    </row>
    <row r="25628">
      <c r="A25628" s="8" t="inlineStr">
        <is>
          <t>2026-08-05</t>
        </is>
      </c>
      <c r="B25628" s="8" t="n">
        <v>16</v>
      </c>
      <c r="C25628" s="8" t="n">
        <v>31</v>
      </c>
      <c r="D25628" s="8" t="inlineStr">
        <is>
          <t>Disneyland Park</t>
        </is>
      </c>
      <c r="E25628" s="8" t="inlineStr">
        <is>
          <t>Blanche-Neige et les Sept Nains®</t>
        </is>
      </c>
      <c r="F25628" s="8" t="inlineStr">
        <is>
          <t>STANDBY</t>
        </is>
      </c>
      <c r="G25628" s="8" t="n">
        <v>15</v>
      </c>
      <c r="H25628" s="8" t="inlineStr">
        <is>
          <t>OPERATING</t>
        </is>
      </c>
    </row>
    <row r="25629">
      <c r="A25629" s="8" t="inlineStr">
        <is>
          <t>2026-08-05</t>
        </is>
      </c>
      <c r="B25629" s="8" t="n">
        <v>16</v>
      </c>
      <c r="C25629" s="8" t="n">
        <v>31</v>
      </c>
      <c r="D25629" s="8" t="inlineStr">
        <is>
          <t>Disneyland Park</t>
        </is>
      </c>
      <c r="E25629" s="8" t="inlineStr">
        <is>
          <t>Casey Jr. – le Petit Train du Cirque</t>
        </is>
      </c>
      <c r="F25629" s="8" t="inlineStr">
        <is>
          <t>STANDBY</t>
        </is>
      </c>
      <c r="G25629" s="8" t="n">
        <v>20</v>
      </c>
      <c r="H25629" s="8" t="inlineStr">
        <is>
          <t>OPERATING</t>
        </is>
      </c>
    </row>
    <row r="25630">
      <c r="A25630" s="8" t="inlineStr">
        <is>
          <t>2026-08-05</t>
        </is>
      </c>
      <c r="B25630" s="8" t="n">
        <v>16</v>
      </c>
      <c r="C25630" s="8" t="n">
        <v>31</v>
      </c>
      <c r="D25630" s="8" t="inlineStr">
        <is>
          <t>Disneyland Park</t>
        </is>
      </c>
      <c r="E25630" s="8" t="inlineStr">
        <is>
          <t>Disneyland Railroad Fantasyland Station</t>
        </is>
      </c>
      <c r="F25630" s="8" t="inlineStr">
        <is>
          <t>STANDBY</t>
        </is>
      </c>
      <c r="G25630" s="8" t="n">
        <v>0</v>
      </c>
      <c r="H25630" s="8" t="inlineStr">
        <is>
          <t>CLOSED</t>
        </is>
      </c>
    </row>
    <row r="25631">
      <c r="A25631" s="8" t="inlineStr">
        <is>
          <t>2026-08-05</t>
        </is>
      </c>
      <c r="B25631" s="8" t="n">
        <v>16</v>
      </c>
      <c r="C25631" s="8" t="n">
        <v>31</v>
      </c>
      <c r="D25631" s="8" t="inlineStr">
        <is>
          <t>Disneyland Park</t>
        </is>
      </c>
      <c r="E25631" s="8" t="inlineStr">
        <is>
          <t>Disneyland Railroad Main Street Station</t>
        </is>
      </c>
      <c r="F25631" s="8" t="inlineStr">
        <is>
          <t>STANDBY</t>
        </is>
      </c>
      <c r="G25631" s="8" t="n">
        <v>20</v>
      </c>
      <c r="H25631" s="8" t="inlineStr">
        <is>
          <t>OPERATING</t>
        </is>
      </c>
    </row>
    <row r="25632">
      <c r="A25632" s="8" t="inlineStr">
        <is>
          <t>2026-08-05</t>
        </is>
      </c>
      <c r="B25632" s="8" t="n">
        <v>16</v>
      </c>
      <c r="C25632" s="8" t="n">
        <v>31</v>
      </c>
      <c r="D25632" s="8" t="inlineStr">
        <is>
          <t>Disneyland Park</t>
        </is>
      </c>
      <c r="E25632" s="8" t="inlineStr">
        <is>
          <t>Dumbo the Flying Elephant</t>
        </is>
      </c>
      <c r="F25632" s="8" t="inlineStr">
        <is>
          <t>STANDBY</t>
        </is>
      </c>
      <c r="G25632" s="8" t="n">
        <v>35</v>
      </c>
      <c r="H25632" s="8" t="inlineStr">
        <is>
          <t>OPERATING</t>
        </is>
      </c>
    </row>
    <row r="25633">
      <c r="A25633" s="8" t="inlineStr">
        <is>
          <t>2026-08-05</t>
        </is>
      </c>
      <c r="B25633" s="8" t="n">
        <v>16</v>
      </c>
      <c r="C25633" s="8" t="n">
        <v>31</v>
      </c>
      <c r="D25633" s="8" t="inlineStr">
        <is>
          <t>Disneyland Park</t>
        </is>
      </c>
      <c r="E25633" s="8" t="inlineStr">
        <is>
          <t>La Tanière du Dragon</t>
        </is>
      </c>
      <c r="F25633" s="8" t="inlineStr">
        <is>
          <t>STANDBY</t>
        </is>
      </c>
      <c r="G25633" s="8" t="n">
        <v>0</v>
      </c>
      <c r="H25633" s="8" t="inlineStr">
        <is>
          <t>OPERATING</t>
        </is>
      </c>
    </row>
    <row r="25634">
      <c r="A25634" s="8" t="inlineStr">
        <is>
          <t>2026-08-05</t>
        </is>
      </c>
      <c r="B25634" s="8" t="n">
        <v>16</v>
      </c>
      <c r="C25634" s="8" t="n">
        <v>31</v>
      </c>
      <c r="D25634" s="8" t="inlineStr">
        <is>
          <t>Disneyland Park</t>
        </is>
      </c>
      <c r="E25634" s="8" t="inlineStr">
        <is>
          <t>Le Carrousel de Lancelot</t>
        </is>
      </c>
      <c r="F25634" s="8" t="inlineStr">
        <is>
          <t>STANDBY</t>
        </is>
      </c>
      <c r="G25634" s="8" t="n">
        <v>15</v>
      </c>
      <c r="H25634" s="8" t="inlineStr">
        <is>
          <t>OPERATING</t>
        </is>
      </c>
    </row>
    <row r="25635">
      <c r="A25635" s="8" t="inlineStr">
        <is>
          <t>2026-08-05</t>
        </is>
      </c>
      <c r="B25635" s="8" t="n">
        <v>16</v>
      </c>
      <c r="C25635" s="8" t="n">
        <v>31</v>
      </c>
      <c r="D25635" s="8" t="inlineStr">
        <is>
          <t>Disneyland Park</t>
        </is>
      </c>
      <c r="E25635" s="8" t="inlineStr">
        <is>
          <t>Le Pays des Contes de Fées, presented by Vittel</t>
        </is>
      </c>
      <c r="F25635" s="8" t="inlineStr">
        <is>
          <t>STANDBY</t>
        </is>
      </c>
      <c r="G25635" s="8" t="n">
        <v>5</v>
      </c>
      <c r="H25635" s="8" t="inlineStr">
        <is>
          <t>OPERATING</t>
        </is>
      </c>
    </row>
    <row r="25636">
      <c r="A25636" s="8" t="inlineStr">
        <is>
          <t>2026-08-05</t>
        </is>
      </c>
      <c r="B25636" s="8" t="n">
        <v>16</v>
      </c>
      <c r="C25636" s="8" t="n">
        <v>31</v>
      </c>
      <c r="D25636" s="8" t="inlineStr">
        <is>
          <t>Disneyland Park</t>
        </is>
      </c>
      <c r="E25636" s="8" t="inlineStr">
        <is>
          <t>Les Voyages de Pinocchio</t>
        </is>
      </c>
      <c r="F25636" s="8" t="inlineStr">
        <is>
          <t>STANDBY</t>
        </is>
      </c>
      <c r="G25636" s="8" t="n">
        <v>30</v>
      </c>
      <c r="H25636" s="8" t="inlineStr">
        <is>
          <t>OPERATING</t>
        </is>
      </c>
    </row>
    <row r="25637">
      <c r="A25637" s="8" t="inlineStr">
        <is>
          <t>2026-08-05</t>
        </is>
      </c>
      <c r="B25637" s="8" t="n">
        <v>16</v>
      </c>
      <c r="C25637" s="8" t="n">
        <v>31</v>
      </c>
      <c r="D25637" s="8" t="inlineStr">
        <is>
          <t>Disneyland Park</t>
        </is>
      </c>
      <c r="E25637" s="8" t="inlineStr">
        <is>
          <t>Mad Hatter's Tea Cups</t>
        </is>
      </c>
      <c r="F25637" s="8" t="inlineStr">
        <is>
          <t>STANDBY</t>
        </is>
      </c>
      <c r="G25637" s="8" t="n">
        <v>10</v>
      </c>
      <c r="H25637" s="8" t="inlineStr">
        <is>
          <t>OPERATING</t>
        </is>
      </c>
    </row>
    <row r="25638">
      <c r="A25638" s="8" t="inlineStr">
        <is>
          <t>2026-08-05</t>
        </is>
      </c>
      <c r="B25638" s="8" t="n">
        <v>16</v>
      </c>
      <c r="C25638" s="8" t="n">
        <v>31</v>
      </c>
      <c r="D25638" s="8" t="inlineStr">
        <is>
          <t>Disneyland Park</t>
        </is>
      </c>
      <c r="E25638" s="8" t="inlineStr">
        <is>
          <t>Meet Mickey Mouse</t>
        </is>
      </c>
      <c r="F25638" s="8" t="inlineStr">
        <is>
          <t>STANDBY</t>
        </is>
      </c>
      <c r="G25638" s="8" t="n">
        <v>0</v>
      </c>
      <c r="H25638" s="8" t="inlineStr">
        <is>
          <t>OPERATING</t>
        </is>
      </c>
    </row>
    <row r="25639">
      <c r="A25639" s="8" t="inlineStr">
        <is>
          <t>2026-08-05</t>
        </is>
      </c>
      <c r="B25639" s="8" t="n">
        <v>16</v>
      </c>
      <c r="C25639" s="8" t="n">
        <v>31</v>
      </c>
      <c r="D25639" s="8" t="inlineStr">
        <is>
          <t>Disneyland Park</t>
        </is>
      </c>
      <c r="E25639" s="8" t="inlineStr">
        <is>
          <t>Peter Pan's Flight</t>
        </is>
      </c>
      <c r="F25639" s="8" t="inlineStr">
        <is>
          <t>STANDBY</t>
        </is>
      </c>
      <c r="G25639" s="8" t="n">
        <v>70</v>
      </c>
      <c r="H25639" s="8" t="inlineStr">
        <is>
          <t>OPERATING</t>
        </is>
      </c>
    </row>
    <row r="25640">
      <c r="A25640" s="8" t="inlineStr">
        <is>
          <t>2026-08-05</t>
        </is>
      </c>
      <c r="B25640" s="8" t="n">
        <v>16</v>
      </c>
      <c r="C25640" s="8" t="n">
        <v>31</v>
      </c>
      <c r="D25640" s="8" t="inlineStr">
        <is>
          <t>Disneyland Park</t>
        </is>
      </c>
      <c r="E25640" s="8" t="inlineStr">
        <is>
          <t>Princess Pavilion</t>
        </is>
      </c>
      <c r="F25640" s="8" t="inlineStr">
        <is>
          <t>STANDBY</t>
        </is>
      </c>
      <c r="G25640" s="8" t="n">
        <v>0</v>
      </c>
      <c r="H25640" s="8" t="inlineStr">
        <is>
          <t>OPERATING</t>
        </is>
      </c>
    </row>
    <row r="25641">
      <c r="A25641" s="8" t="inlineStr">
        <is>
          <t>2026-08-05</t>
        </is>
      </c>
      <c r="B25641" s="8" t="n">
        <v>16</v>
      </c>
      <c r="C25641" s="8" t="n">
        <v>31</v>
      </c>
      <c r="D25641" s="8" t="inlineStr">
        <is>
          <t>Disneyland Park</t>
        </is>
      </c>
      <c r="E25641" s="8" t="inlineStr">
        <is>
          <t>Big Thunder Mountain</t>
        </is>
      </c>
      <c r="F25641" s="8" t="inlineStr">
        <is>
          <t>STANDBY</t>
        </is>
      </c>
      <c r="G25641" s="8" t="n">
        <v>60</v>
      </c>
      <c r="H25641" s="8" t="inlineStr">
        <is>
          <t>OPERATING</t>
        </is>
      </c>
    </row>
    <row r="25642">
      <c r="A25642" s="8" t="inlineStr">
        <is>
          <t>2026-08-05</t>
        </is>
      </c>
      <c r="B25642" s="8" t="n">
        <v>16</v>
      </c>
      <c r="C25642" s="8" t="n">
        <v>31</v>
      </c>
      <c r="D25642" s="8" t="inlineStr">
        <is>
          <t>Disneyland Park</t>
        </is>
      </c>
      <c r="E25642" s="8" t="inlineStr">
        <is>
          <t>Disneyland Railroad Frontierland Depot</t>
        </is>
      </c>
      <c r="F25642" s="8" t="inlineStr">
        <is>
          <t>STANDBY</t>
        </is>
      </c>
      <c r="G25642" s="8" t="n">
        <v>20</v>
      </c>
      <c r="H25642" s="8" t="inlineStr">
        <is>
          <t>OPERATING</t>
        </is>
      </c>
    </row>
    <row r="25643">
      <c r="A25643" s="8" t="inlineStr">
        <is>
          <t>2026-08-05</t>
        </is>
      </c>
      <c r="B25643" s="8" t="n">
        <v>16</v>
      </c>
      <c r="C25643" s="8" t="n">
        <v>31</v>
      </c>
      <c r="D25643" s="8" t="inlineStr">
        <is>
          <t>Disneyland Park</t>
        </is>
      </c>
      <c r="E25643" s="8" t="inlineStr">
        <is>
          <t>Frontierland Playground</t>
        </is>
      </c>
      <c r="F25643" s="8" t="inlineStr">
        <is>
          <t>STANDBY</t>
        </is>
      </c>
      <c r="G25643" s="8" t="n">
        <v>0</v>
      </c>
      <c r="H25643" s="8" t="inlineStr">
        <is>
          <t>OPERATING</t>
        </is>
      </c>
    </row>
    <row r="25644">
      <c r="A25644" s="8" t="inlineStr">
        <is>
          <t>2026-08-05</t>
        </is>
      </c>
      <c r="B25644" s="8" t="n">
        <v>16</v>
      </c>
      <c r="C25644" s="8" t="n">
        <v>31</v>
      </c>
      <c r="D25644" s="8" t="inlineStr">
        <is>
          <t>Disneyland Park</t>
        </is>
      </c>
      <c r="E25644" s="8" t="inlineStr">
        <is>
          <t>Phantom Manor</t>
        </is>
      </c>
      <c r="F25644" s="8" t="inlineStr">
        <is>
          <t>STANDBY</t>
        </is>
      </c>
      <c r="G25644" s="8" t="n">
        <v>25</v>
      </c>
      <c r="H25644" s="8" t="inlineStr">
        <is>
          <t>OPERATING</t>
        </is>
      </c>
    </row>
    <row r="25645">
      <c r="A25645" s="8" t="inlineStr">
        <is>
          <t>2026-08-05</t>
        </is>
      </c>
      <c r="B25645" s="8" t="n">
        <v>16</v>
      </c>
      <c r="C25645" s="8" t="n">
        <v>31</v>
      </c>
      <c r="D25645" s="8" t="inlineStr">
        <is>
          <t>Disneyland Park</t>
        </is>
      </c>
      <c r="E25645" s="8" t="inlineStr">
        <is>
          <t>River Rogue Keelboats</t>
        </is>
      </c>
      <c r="F25645" s="8" t="inlineStr">
        <is>
          <t>STANDBY</t>
        </is>
      </c>
      <c r="G25645" s="8" t="n">
        <v>0</v>
      </c>
      <c r="H25645" s="8" t="inlineStr">
        <is>
          <t>CLOSED</t>
        </is>
      </c>
    </row>
    <row r="25646">
      <c r="A25646" s="8" t="inlineStr">
        <is>
          <t>2026-08-05</t>
        </is>
      </c>
      <c r="B25646" s="8" t="n">
        <v>16</v>
      </c>
      <c r="C25646" s="8" t="n">
        <v>31</v>
      </c>
      <c r="D25646" s="8" t="inlineStr">
        <is>
          <t>Disneyland Park</t>
        </is>
      </c>
      <c r="E25646" s="8" t="inlineStr">
        <is>
          <t>Rustler Roundup Shootin' Gallery</t>
        </is>
      </c>
      <c r="F25646" s="8" t="inlineStr">
        <is>
          <t>STANDBY</t>
        </is>
      </c>
      <c r="G25646" s="8" t="n">
        <v>0</v>
      </c>
      <c r="H25646" s="8" t="inlineStr">
        <is>
          <t>OPERATING</t>
        </is>
      </c>
    </row>
    <row r="25647">
      <c r="A25647" s="8" t="inlineStr">
        <is>
          <t>2026-08-05</t>
        </is>
      </c>
      <c r="B25647" s="8" t="n">
        <v>16</v>
      </c>
      <c r="C25647" s="8" t="n">
        <v>31</v>
      </c>
      <c r="D25647" s="8" t="inlineStr">
        <is>
          <t>Disneyland Park</t>
        </is>
      </c>
      <c r="E25647" s="8" t="inlineStr">
        <is>
          <t>Thunder Mesa Riverboat Landing</t>
        </is>
      </c>
      <c r="F25647" s="8" t="inlineStr">
        <is>
          <t>STANDBY</t>
        </is>
      </c>
      <c r="G25647" s="8" t="n">
        <v>20</v>
      </c>
      <c r="H25647" s="8" t="inlineStr">
        <is>
          <t>OPERATING</t>
        </is>
      </c>
    </row>
    <row r="25648">
      <c r="A25648" s="8" t="inlineStr">
        <is>
          <t>2026-08-05</t>
        </is>
      </c>
      <c r="B25648" s="8" t="n">
        <v>16</v>
      </c>
      <c r="C25648" s="8" t="n">
        <v>31</v>
      </c>
      <c r="D25648" s="8" t="inlineStr">
        <is>
          <t>Disneyland Park</t>
        </is>
      </c>
      <c r="E25648" s="8" t="inlineStr">
        <is>
          <t>Disneyland Railroad Main Street Station</t>
        </is>
      </c>
      <c r="F25648" s="8" t="inlineStr">
        <is>
          <t>STANDBY</t>
        </is>
      </c>
      <c r="G25648" s="8" t="n">
        <v>0</v>
      </c>
      <c r="H25648" s="8" t="inlineStr">
        <is>
          <t>OPERATING</t>
        </is>
      </c>
    </row>
    <row r="25649">
      <c r="A25649" s="8" t="inlineStr">
        <is>
          <t>2026-08-05</t>
        </is>
      </c>
      <c r="B25649" s="8" t="n">
        <v>16</v>
      </c>
      <c r="C25649" s="8" t="n">
        <v>31</v>
      </c>
      <c r="D25649" s="8" t="inlineStr">
        <is>
          <t>Disneyland Park</t>
        </is>
      </c>
      <c r="E25649" s="8" t="inlineStr">
        <is>
          <t>Main Street Vehicles</t>
        </is>
      </c>
      <c r="F25649" s="8" t="inlineStr">
        <is>
          <t>STANDBY</t>
        </is>
      </c>
      <c r="G25649" s="8" t="n">
        <v>0</v>
      </c>
      <c r="H25649" s="8" t="inlineStr">
        <is>
          <t>CLOSED</t>
        </is>
      </c>
    </row>
    <row r="25650">
      <c r="A25650" s="8" t="inlineStr">
        <is>
          <t>2026-08-05</t>
        </is>
      </c>
      <c r="B25650" s="8" t="n">
        <v>16</v>
      </c>
      <c r="C25650" s="8" t="n">
        <v>31</v>
      </c>
      <c r="D25650" s="8" t="inlineStr">
        <is>
          <t>Disney Adventure World</t>
        </is>
      </c>
      <c r="E25650" s="8" t="inlineStr">
        <is>
          <t>Avengers Assemble: Flight Force</t>
        </is>
      </c>
      <c r="F25650" s="8" t="inlineStr">
        <is>
          <t>STANDBY</t>
        </is>
      </c>
      <c r="G25650" s="8" t="n">
        <v>30</v>
      </c>
      <c r="H25650" s="8" t="inlineStr">
        <is>
          <t>OPERATING</t>
        </is>
      </c>
    </row>
    <row r="25651">
      <c r="A25651" s="8" t="inlineStr">
        <is>
          <t>2026-08-05</t>
        </is>
      </c>
      <c r="B25651" s="8" t="n">
        <v>16</v>
      </c>
      <c r="C25651" s="8" t="n">
        <v>31</v>
      </c>
      <c r="D25651" s="8" t="inlineStr">
        <is>
          <t>Disney Adventure World</t>
        </is>
      </c>
      <c r="E25651" s="8" t="inlineStr">
        <is>
          <t>Avengers Assemble: Flight Force Single Rider</t>
        </is>
      </c>
      <c r="F25651" s="8" t="inlineStr">
        <is>
          <t>STANDBY</t>
        </is>
      </c>
      <c r="G25651" s="8" t="n">
        <v>20</v>
      </c>
      <c r="H25651" s="8" t="inlineStr">
        <is>
          <t>OPERATING</t>
        </is>
      </c>
    </row>
    <row r="25652">
      <c r="A25652" s="8" t="inlineStr">
        <is>
          <t>2026-08-05</t>
        </is>
      </c>
      <c r="B25652" s="8" t="n">
        <v>16</v>
      </c>
      <c r="C25652" s="8" t="n">
        <v>31</v>
      </c>
      <c r="D25652" s="8" t="inlineStr">
        <is>
          <t>Disney Adventure World</t>
        </is>
      </c>
      <c r="E25652" s="8" t="inlineStr">
        <is>
          <t>Spider-Man W.E.B. Adventure</t>
        </is>
      </c>
      <c r="F25652" s="8" t="inlineStr">
        <is>
          <t>STANDBY</t>
        </is>
      </c>
      <c r="G25652" s="8" t="n">
        <v>45</v>
      </c>
      <c r="H25652" s="8" t="inlineStr">
        <is>
          <t>OPERATING</t>
        </is>
      </c>
    </row>
    <row r="25653">
      <c r="A25653" s="8" t="inlineStr">
        <is>
          <t>2026-08-05</t>
        </is>
      </c>
      <c r="B25653" s="8" t="n">
        <v>16</v>
      </c>
      <c r="C25653" s="8" t="n">
        <v>31</v>
      </c>
      <c r="D25653" s="8" t="inlineStr">
        <is>
          <t>Disney Adventure World</t>
        </is>
      </c>
      <c r="E25653" s="8" t="inlineStr">
        <is>
          <t>Spider-Man W.E.B. Adventure Single Rider</t>
        </is>
      </c>
      <c r="F25653" s="8" t="inlineStr">
        <is>
          <t>STANDBY</t>
        </is>
      </c>
      <c r="G25653" s="8" t="n">
        <v>25</v>
      </c>
      <c r="H25653" s="8" t="inlineStr">
        <is>
          <t>OPERATING</t>
        </is>
      </c>
    </row>
    <row r="25654">
      <c r="A25654" s="8" t="inlineStr">
        <is>
          <t>2026-08-05</t>
        </is>
      </c>
      <c r="B25654" s="8" t="n">
        <v>16</v>
      </c>
      <c r="C25654" s="8" t="n">
        <v>31</v>
      </c>
      <c r="D25654" s="8" t="inlineStr">
        <is>
          <t>Disney Adventure World</t>
        </is>
      </c>
      <c r="E25654" s="8" t="inlineStr">
        <is>
          <t>The Twilight Zone Tower of Terror</t>
        </is>
      </c>
      <c r="F25654" s="8" t="inlineStr">
        <is>
          <t>STANDBY</t>
        </is>
      </c>
      <c r="G25654" s="8" t="n">
        <v>45</v>
      </c>
      <c r="H25654" s="8" t="inlineStr">
        <is>
          <t>OPERATING</t>
        </is>
      </c>
    </row>
    <row r="25655">
      <c r="A25655" s="8" t="inlineStr">
        <is>
          <t>2026-08-05</t>
        </is>
      </c>
      <c r="B25655" s="8" t="n">
        <v>16</v>
      </c>
      <c r="C25655" s="8" t="n">
        <v>31</v>
      </c>
      <c r="D25655" s="8" t="inlineStr">
        <is>
          <t>Disney Adventure World</t>
        </is>
      </c>
      <c r="E25655" s="8" t="inlineStr">
        <is>
          <t>Cars Quatre Roues Rallye</t>
        </is>
      </c>
      <c r="F25655" s="8" t="inlineStr">
        <is>
          <t>STANDBY</t>
        </is>
      </c>
      <c r="G25655" s="8" t="n">
        <v>10</v>
      </c>
      <c r="H25655" s="8" t="inlineStr">
        <is>
          <t>OPERATING</t>
        </is>
      </c>
    </row>
    <row r="25656">
      <c r="A25656" s="8" t="inlineStr">
        <is>
          <t>2026-08-05</t>
        </is>
      </c>
      <c r="B25656" s="8" t="n">
        <v>16</v>
      </c>
      <c r="C25656" s="8" t="n">
        <v>31</v>
      </c>
      <c r="D25656" s="8" t="inlineStr">
        <is>
          <t>Disney Adventure World</t>
        </is>
      </c>
      <c r="E25656" s="8" t="inlineStr">
        <is>
          <t>Cars ROAD TRIP</t>
        </is>
      </c>
      <c r="F25656" s="8" t="inlineStr">
        <is>
          <t>STANDBY</t>
        </is>
      </c>
      <c r="G25656" s="8" t="n">
        <v>20</v>
      </c>
      <c r="H25656" s="8" t="inlineStr">
        <is>
          <t>OPERATING</t>
        </is>
      </c>
    </row>
    <row r="25657">
      <c r="A25657" s="8" t="inlineStr">
        <is>
          <t>2026-08-05</t>
        </is>
      </c>
      <c r="B25657" s="8" t="n">
        <v>16</v>
      </c>
      <c r="C25657" s="8" t="n">
        <v>31</v>
      </c>
      <c r="D25657" s="8" t="inlineStr">
        <is>
          <t>Disney Adventure World</t>
        </is>
      </c>
      <c r="E25657" s="8" t="inlineStr">
        <is>
          <t>Crush's Coaster</t>
        </is>
      </c>
      <c r="F25657" s="8" t="inlineStr">
        <is>
          <t>STANDBY</t>
        </is>
      </c>
      <c r="G25657" s="8" t="n">
        <v>75</v>
      </c>
      <c r="H25657" s="8" t="inlineStr">
        <is>
          <t>OPERATING</t>
        </is>
      </c>
    </row>
    <row r="25658">
      <c r="A25658" s="8" t="inlineStr">
        <is>
          <t>2026-08-05</t>
        </is>
      </c>
      <c r="B25658" s="8" t="n">
        <v>16</v>
      </c>
      <c r="C25658" s="8" t="n">
        <v>31</v>
      </c>
      <c r="D25658" s="8" t="inlineStr">
        <is>
          <t>Disney Adventure World</t>
        </is>
      </c>
      <c r="E25658" s="8" t="inlineStr">
        <is>
          <t>Crush's Coaster Single Rider</t>
        </is>
      </c>
      <c r="F25658" s="8" t="inlineStr">
        <is>
          <t>STANDBY</t>
        </is>
      </c>
      <c r="G25658" s="8" t="n">
        <v>40</v>
      </c>
      <c r="H25658" s="8" t="inlineStr">
        <is>
          <t>OPERATING</t>
        </is>
      </c>
    </row>
    <row r="25659">
      <c r="A25659" s="8" t="inlineStr">
        <is>
          <t>2026-08-05</t>
        </is>
      </c>
      <c r="B25659" s="8" t="n">
        <v>16</v>
      </c>
      <c r="C25659" s="8" t="n">
        <v>31</v>
      </c>
      <c r="D25659" s="8" t="inlineStr">
        <is>
          <t>Disney Adventure World</t>
        </is>
      </c>
      <c r="E25659" s="8" t="inlineStr">
        <is>
          <t>Les Tapis Volants - Flying Carpets Over Agrabah®</t>
        </is>
      </c>
      <c r="F25659" s="8" t="inlineStr">
        <is>
          <t>STANDBY</t>
        </is>
      </c>
      <c r="G25659" s="8" t="n">
        <v>20</v>
      </c>
      <c r="H25659" s="8" t="inlineStr">
        <is>
          <t>OPERATING</t>
        </is>
      </c>
    </row>
    <row r="25660">
      <c r="A25660" s="8" t="inlineStr">
        <is>
          <t>2026-08-05</t>
        </is>
      </c>
      <c r="B25660" s="8" t="n">
        <v>16</v>
      </c>
      <c r="C25660" s="8" t="n">
        <v>31</v>
      </c>
      <c r="D25660" s="8" t="inlineStr">
        <is>
          <t>Disney Adventure World</t>
        </is>
      </c>
      <c r="E25660" s="8" t="inlineStr">
        <is>
          <t>Ratatouille : L’Aventure Totalement Toquée de Rémy​</t>
        </is>
      </c>
      <c r="F25660" s="8" t="inlineStr">
        <is>
          <t>STANDBY</t>
        </is>
      </c>
      <c r="G25660" s="8" t="n">
        <v>80</v>
      </c>
      <c r="H25660" s="8" t="inlineStr">
        <is>
          <t>OPERATING</t>
        </is>
      </c>
    </row>
    <row r="25661">
      <c r="A25661" s="8" t="inlineStr">
        <is>
          <t>2026-08-05</t>
        </is>
      </c>
      <c r="B25661" s="8" t="n">
        <v>16</v>
      </c>
      <c r="C25661" s="8" t="n">
        <v>31</v>
      </c>
      <c r="D25661" s="8" t="inlineStr">
        <is>
          <t>Disney Adventure World</t>
        </is>
      </c>
      <c r="E25661" s="8" t="inlineStr">
        <is>
          <t>Ratatouille: The Adventure Single Rider</t>
        </is>
      </c>
      <c r="F25661" s="8" t="inlineStr">
        <is>
          <t>STANDBY</t>
        </is>
      </c>
      <c r="G25661" s="8" t="n">
        <v>35</v>
      </c>
      <c r="H25661" s="8" t="inlineStr">
        <is>
          <t>OPERATING</t>
        </is>
      </c>
    </row>
    <row r="25662">
      <c r="A25662" s="8" t="inlineStr">
        <is>
          <t>2026-08-05</t>
        </is>
      </c>
      <c r="B25662" s="8" t="n">
        <v>16</v>
      </c>
      <c r="C25662" s="8" t="n">
        <v>31</v>
      </c>
      <c r="D25662" s="8" t="inlineStr">
        <is>
          <t>Disney Adventure World</t>
        </is>
      </c>
      <c r="E25662" s="8" t="inlineStr">
        <is>
          <t>RC Racer</t>
        </is>
      </c>
      <c r="F25662" s="8" t="inlineStr">
        <is>
          <t>STANDBY</t>
        </is>
      </c>
      <c r="G25662" s="8" t="n">
        <v>45</v>
      </c>
      <c r="H25662" s="8" t="inlineStr">
        <is>
          <t>OPERATING</t>
        </is>
      </c>
    </row>
    <row r="25663">
      <c r="A25663" s="8" t="inlineStr">
        <is>
          <t>2026-08-05</t>
        </is>
      </c>
      <c r="B25663" s="8" t="n">
        <v>16</v>
      </c>
      <c r="C25663" s="8" t="n">
        <v>31</v>
      </c>
      <c r="D25663" s="8" t="inlineStr">
        <is>
          <t>Disney Adventure World</t>
        </is>
      </c>
      <c r="E25663" s="8" t="inlineStr">
        <is>
          <t>RC Racer Single Rider</t>
        </is>
      </c>
      <c r="F25663" s="8" t="inlineStr">
        <is>
          <t>STANDBY</t>
        </is>
      </c>
      <c r="G25663" s="8" t="n">
        <v>40</v>
      </c>
      <c r="H25663" s="8" t="inlineStr">
        <is>
          <t>OPERATING</t>
        </is>
      </c>
    </row>
    <row r="25664">
      <c r="A25664" s="8" t="inlineStr">
        <is>
          <t>2026-08-05</t>
        </is>
      </c>
      <c r="B25664" s="8" t="n">
        <v>16</v>
      </c>
      <c r="C25664" s="8" t="n">
        <v>31</v>
      </c>
      <c r="D25664" s="8" t="inlineStr">
        <is>
          <t>Disney Adventure World</t>
        </is>
      </c>
      <c r="E25664" s="8" t="inlineStr">
        <is>
          <t>Slinky® Dog Zigzag Spin</t>
        </is>
      </c>
      <c r="F25664" s="8" t="inlineStr">
        <is>
          <t>STANDBY</t>
        </is>
      </c>
      <c r="G25664" s="8" t="n">
        <v>25</v>
      </c>
      <c r="H25664" s="8" t="inlineStr">
        <is>
          <t>OPERATING</t>
        </is>
      </c>
    </row>
    <row r="25665">
      <c r="A25665" s="8" t="inlineStr">
        <is>
          <t>2026-08-05</t>
        </is>
      </c>
      <c r="B25665" s="8" t="n">
        <v>16</v>
      </c>
      <c r="C25665" s="8" t="n">
        <v>31</v>
      </c>
      <c r="D25665" s="8" t="inlineStr">
        <is>
          <t>Disney Adventure World</t>
        </is>
      </c>
      <c r="E25665" s="8" t="inlineStr">
        <is>
          <t>Toy Soldiers Parachute Drop</t>
        </is>
      </c>
      <c r="F25665" s="8" t="inlineStr">
        <is>
          <t>STANDBY</t>
        </is>
      </c>
      <c r="G25665" s="8" t="n">
        <v>60</v>
      </c>
      <c r="H25665" s="8" t="inlineStr">
        <is>
          <t>OPERATING</t>
        </is>
      </c>
    </row>
    <row r="25666">
      <c r="A25666" s="8" t="inlineStr">
        <is>
          <t>2026-08-05</t>
        </is>
      </c>
      <c r="B25666" s="8" t="n">
        <v>16</v>
      </c>
      <c r="C25666" s="8" t="n">
        <v>31</v>
      </c>
      <c r="D25666" s="8" t="inlineStr">
        <is>
          <t>Disney Adventure World</t>
        </is>
      </c>
      <c r="E25666" s="8" t="inlineStr">
        <is>
          <t>Toy Soldiers Parachute Drop Single Rider</t>
        </is>
      </c>
      <c r="F25666" s="8" t="inlineStr">
        <is>
          <t>STANDBY</t>
        </is>
      </c>
      <c r="G25666" s="8" t="n">
        <v>20</v>
      </c>
      <c r="H25666" s="8" t="inlineStr">
        <is>
          <t>OPERATING</t>
        </is>
      </c>
    </row>
    <row r="25667">
      <c r="A25667" s="8" t="inlineStr">
        <is>
          <t>2026-08-05</t>
        </is>
      </c>
      <c r="B25667" s="8" t="n">
        <v>16</v>
      </c>
      <c r="C25667" s="8" t="n">
        <v>31</v>
      </c>
      <c r="D25667" s="8" t="inlineStr">
        <is>
          <t>Disney Adventure World</t>
        </is>
      </c>
      <c r="E25667" s="8" t="inlineStr">
        <is>
          <t>Entry to World of Frozen</t>
        </is>
      </c>
      <c r="F25667" s="8" t="inlineStr">
        <is>
          <t>STANDBY</t>
        </is>
      </c>
      <c r="G25667" s="8" t="n">
        <v>0</v>
      </c>
      <c r="H25667" s="8" t="inlineStr">
        <is>
          <t>OPERATING</t>
        </is>
      </c>
    </row>
    <row r="25668">
      <c r="A25668" s="8" t="inlineStr">
        <is>
          <t>2026-08-05</t>
        </is>
      </c>
      <c r="B25668" s="8" t="n">
        <v>16</v>
      </c>
      <c r="C25668" s="8" t="n">
        <v>31</v>
      </c>
      <c r="D25668" s="8" t="inlineStr">
        <is>
          <t>Disney Adventure World</t>
        </is>
      </c>
      <c r="E25668" s="8" t="inlineStr">
        <is>
          <t>Frozen Ever After</t>
        </is>
      </c>
      <c r="F25668" s="8" t="inlineStr">
        <is>
          <t>STANDBY</t>
        </is>
      </c>
      <c r="G25668" s="8" t="n">
        <v>75</v>
      </c>
      <c r="H25668" s="8" t="inlineStr">
        <is>
          <t>OPERATING</t>
        </is>
      </c>
    </row>
    <row r="25669">
      <c r="A25669" s="8" t="inlineStr">
        <is>
          <t>2026-08-05</t>
        </is>
      </c>
      <c r="B25669" s="8" t="n">
        <v>16</v>
      </c>
      <c r="C25669" s="8" t="n">
        <v>31</v>
      </c>
      <c r="D25669" s="8" t="inlineStr">
        <is>
          <t>Disney Adventure World</t>
        </is>
      </c>
      <c r="E25669" s="8" t="inlineStr">
        <is>
          <t>Raiponce Tangled Spin</t>
        </is>
      </c>
      <c r="F25669" s="8" t="inlineStr">
        <is>
          <t>STANDBY</t>
        </is>
      </c>
      <c r="G25669" s="8" t="n">
        <v>10</v>
      </c>
      <c r="H25669" s="8" t="inlineStr">
        <is>
          <t>OPERATING</t>
        </is>
      </c>
    </row>
    <row r="25670">
      <c r="A25670" s="8" t="inlineStr">
        <is>
          <t>2026-08-05</t>
        </is>
      </c>
      <c r="B25670" s="8" t="n">
        <v>16</v>
      </c>
      <c r="C25670" s="8" t="n">
        <v>45</v>
      </c>
      <c r="D25670" s="8" t="inlineStr">
        <is>
          <t>Disneyland Park</t>
        </is>
      </c>
      <c r="E25670" s="8" t="inlineStr">
        <is>
          <t>Adventure Isle</t>
        </is>
      </c>
      <c r="F25670" s="8" t="inlineStr">
        <is>
          <t>STANDBY</t>
        </is>
      </c>
      <c r="G25670" s="8" t="n">
        <v>0</v>
      </c>
      <c r="H25670" s="8" t="inlineStr">
        <is>
          <t>OPERATING</t>
        </is>
      </c>
    </row>
    <row r="25671">
      <c r="A25671" s="8" t="inlineStr">
        <is>
          <t>2026-08-05</t>
        </is>
      </c>
      <c r="B25671" s="8" t="n">
        <v>16</v>
      </c>
      <c r="C25671" s="8" t="n">
        <v>45</v>
      </c>
      <c r="D25671" s="8" t="inlineStr">
        <is>
          <t>Disneyland Park</t>
        </is>
      </c>
      <c r="E25671" s="8" t="inlineStr">
        <is>
          <t>Indiana Jones and the Temple of Peril Single Rider</t>
        </is>
      </c>
      <c r="F25671" s="8" t="inlineStr">
        <is>
          <t>STANDBY</t>
        </is>
      </c>
      <c r="G25671" s="8" t="n">
        <v>15</v>
      </c>
      <c r="H25671" s="8" t="inlineStr">
        <is>
          <t>OPERATING</t>
        </is>
      </c>
    </row>
    <row r="25672">
      <c r="A25672" s="8" t="inlineStr">
        <is>
          <t>2026-08-05</t>
        </is>
      </c>
      <c r="B25672" s="8" t="n">
        <v>16</v>
      </c>
      <c r="C25672" s="8" t="n">
        <v>45</v>
      </c>
      <c r="D25672" s="8" t="inlineStr">
        <is>
          <t>Disneyland Park</t>
        </is>
      </c>
      <c r="E25672" s="8" t="inlineStr">
        <is>
          <t>Indiana Jones™ and the Temple of Peril</t>
        </is>
      </c>
      <c r="F25672" s="8" t="inlineStr">
        <is>
          <t>STANDBY</t>
        </is>
      </c>
      <c r="G25672" s="8" t="n">
        <v>30</v>
      </c>
      <c r="H25672" s="8" t="inlineStr">
        <is>
          <t>OPERATING</t>
        </is>
      </c>
    </row>
    <row r="25673">
      <c r="A25673" s="8" t="inlineStr">
        <is>
          <t>2026-08-05</t>
        </is>
      </c>
      <c r="B25673" s="8" t="n">
        <v>16</v>
      </c>
      <c r="C25673" s="8" t="n">
        <v>45</v>
      </c>
      <c r="D25673" s="8" t="inlineStr">
        <is>
          <t>Disneyland Park</t>
        </is>
      </c>
      <c r="E25673" s="8" t="inlineStr">
        <is>
          <t>La Cabane des Robinson</t>
        </is>
      </c>
      <c r="F25673" s="8" t="inlineStr">
        <is>
          <t>STANDBY</t>
        </is>
      </c>
      <c r="G25673" s="8" t="n">
        <v>5</v>
      </c>
      <c r="H25673" s="8" t="inlineStr">
        <is>
          <t>OPERATING</t>
        </is>
      </c>
    </row>
    <row r="25674">
      <c r="A25674" s="8" t="inlineStr">
        <is>
          <t>2026-08-05</t>
        </is>
      </c>
      <c r="B25674" s="8" t="n">
        <v>16</v>
      </c>
      <c r="C25674" s="8" t="n">
        <v>45</v>
      </c>
      <c r="D25674" s="8" t="inlineStr">
        <is>
          <t>Disneyland Park</t>
        </is>
      </c>
      <c r="E25674" s="8" t="inlineStr">
        <is>
          <t>Le Passage Enchanté d'Aladdin</t>
        </is>
      </c>
      <c r="F25674" s="8" t="inlineStr">
        <is>
          <t>STANDBY</t>
        </is>
      </c>
      <c r="G25674" s="8" t="n">
        <v>0</v>
      </c>
      <c r="H25674" s="8" t="inlineStr">
        <is>
          <t>OPERATING</t>
        </is>
      </c>
    </row>
    <row r="25675">
      <c r="A25675" s="8" t="inlineStr">
        <is>
          <t>2026-08-05</t>
        </is>
      </c>
      <c r="B25675" s="8" t="n">
        <v>16</v>
      </c>
      <c r="C25675" s="8" t="n">
        <v>45</v>
      </c>
      <c r="D25675" s="8" t="inlineStr">
        <is>
          <t>Disneyland Park</t>
        </is>
      </c>
      <c r="E25675" s="8" t="inlineStr">
        <is>
          <t>Pirate Galleon</t>
        </is>
      </c>
      <c r="F25675" s="8" t="inlineStr">
        <is>
          <t>STANDBY</t>
        </is>
      </c>
      <c r="G25675" s="8" t="n">
        <v>0</v>
      </c>
      <c r="H25675" s="8" t="inlineStr">
        <is>
          <t>CLOSED</t>
        </is>
      </c>
    </row>
    <row r="25676">
      <c r="A25676" s="8" t="inlineStr">
        <is>
          <t>2026-08-05</t>
        </is>
      </c>
      <c r="B25676" s="8" t="n">
        <v>16</v>
      </c>
      <c r="C25676" s="8" t="n">
        <v>45</v>
      </c>
      <c r="D25676" s="8" t="inlineStr">
        <is>
          <t>Disneyland Park</t>
        </is>
      </c>
      <c r="E25676" s="8" t="inlineStr">
        <is>
          <t>Pirates of the Caribbean</t>
        </is>
      </c>
      <c r="F25676" s="8" t="inlineStr">
        <is>
          <t>STANDBY</t>
        </is>
      </c>
      <c r="G25676" s="8" t="n">
        <v>15</v>
      </c>
      <c r="H25676" s="8" t="inlineStr">
        <is>
          <t>OPERATING</t>
        </is>
      </c>
    </row>
    <row r="25677">
      <c r="A25677" s="8" t="inlineStr">
        <is>
          <t>2026-08-05</t>
        </is>
      </c>
      <c r="B25677" s="8" t="n">
        <v>16</v>
      </c>
      <c r="C25677" s="8" t="n">
        <v>45</v>
      </c>
      <c r="D25677" s="8" t="inlineStr">
        <is>
          <t>Disneyland Park</t>
        </is>
      </c>
      <c r="E25677" s="8" t="inlineStr">
        <is>
          <t>Pirates' Beach</t>
        </is>
      </c>
      <c r="F25677" s="8" t="inlineStr">
        <is>
          <t>STANDBY</t>
        </is>
      </c>
      <c r="G25677" s="8" t="n">
        <v>0</v>
      </c>
      <c r="H25677" s="8" t="inlineStr">
        <is>
          <t>OPERATING</t>
        </is>
      </c>
    </row>
    <row r="25678">
      <c r="A25678" s="8" t="inlineStr">
        <is>
          <t>2026-08-05</t>
        </is>
      </c>
      <c r="B25678" s="8" t="n">
        <v>16</v>
      </c>
      <c r="C25678" s="8" t="n">
        <v>45</v>
      </c>
      <c r="D25678" s="8" t="inlineStr">
        <is>
          <t>Disneyland Park</t>
        </is>
      </c>
      <c r="E25678" s="8" t="inlineStr">
        <is>
          <t>Autopia, presented by Avis</t>
        </is>
      </c>
      <c r="F25678" s="8" t="inlineStr">
        <is>
          <t>STANDBY</t>
        </is>
      </c>
      <c r="G25678" s="8" t="n">
        <v>35</v>
      </c>
      <c r="H25678" s="8" t="inlineStr">
        <is>
          <t>OPERATING</t>
        </is>
      </c>
    </row>
    <row r="25679">
      <c r="A25679" s="8" t="inlineStr">
        <is>
          <t>2026-08-05</t>
        </is>
      </c>
      <c r="B25679" s="8" t="n">
        <v>16</v>
      </c>
      <c r="C25679" s="8" t="n">
        <v>45</v>
      </c>
      <c r="D25679" s="8" t="inlineStr">
        <is>
          <t>Disneyland Park</t>
        </is>
      </c>
      <c r="E25679" s="8" t="inlineStr">
        <is>
          <t>Buzz Lightyear Laser Blast</t>
        </is>
      </c>
      <c r="F25679" s="8" t="inlineStr">
        <is>
          <t>STANDBY</t>
        </is>
      </c>
      <c r="G25679" s="8" t="n">
        <v>50</v>
      </c>
      <c r="H25679" s="8" t="inlineStr">
        <is>
          <t>OPERATING</t>
        </is>
      </c>
    </row>
    <row r="25680">
      <c r="A25680" s="8" t="inlineStr">
        <is>
          <t>2026-08-05</t>
        </is>
      </c>
      <c r="B25680" s="8" t="n">
        <v>16</v>
      </c>
      <c r="C25680" s="8" t="n">
        <v>45</v>
      </c>
      <c r="D25680" s="8" t="inlineStr">
        <is>
          <t>Disneyland Park</t>
        </is>
      </c>
      <c r="E25680" s="8" t="inlineStr">
        <is>
          <t>Disneyland Railroad Discoveryland Station</t>
        </is>
      </c>
      <c r="F25680" s="8" t="inlineStr">
        <is>
          <t>STANDBY</t>
        </is>
      </c>
      <c r="G25680" s="8" t="n">
        <v>0</v>
      </c>
      <c r="H25680" s="8" t="inlineStr">
        <is>
          <t>CLOSED</t>
        </is>
      </c>
    </row>
    <row r="25681">
      <c r="A25681" s="8" t="inlineStr">
        <is>
          <t>2026-08-05</t>
        </is>
      </c>
      <c r="B25681" s="8" t="n">
        <v>16</v>
      </c>
      <c r="C25681" s="8" t="n">
        <v>45</v>
      </c>
      <c r="D25681" s="8" t="inlineStr">
        <is>
          <t>Disneyland Park</t>
        </is>
      </c>
      <c r="E25681" s="8" t="inlineStr">
        <is>
          <t>Les Mystères du Nautilus</t>
        </is>
      </c>
      <c r="F25681" s="8" t="inlineStr">
        <is>
          <t>STANDBY</t>
        </is>
      </c>
      <c r="G25681" s="8" t="n">
        <v>5</v>
      </c>
      <c r="H25681" s="8" t="inlineStr">
        <is>
          <t>OPERATING</t>
        </is>
      </c>
    </row>
    <row r="25682">
      <c r="A25682" s="8" t="inlineStr">
        <is>
          <t>2026-08-05</t>
        </is>
      </c>
      <c r="B25682" s="8" t="n">
        <v>16</v>
      </c>
      <c r="C25682" s="8" t="n">
        <v>45</v>
      </c>
      <c r="D25682" s="8" t="inlineStr">
        <is>
          <t>Disneyland Park</t>
        </is>
      </c>
      <c r="E25682" s="8" t="inlineStr">
        <is>
          <t>Mickey’s PhilharMagic</t>
        </is>
      </c>
      <c r="F25682" s="8" t="inlineStr">
        <is>
          <t>STANDBY</t>
        </is>
      </c>
      <c r="G25682" s="8" t="n">
        <v>0</v>
      </c>
      <c r="H25682" s="8" t="inlineStr">
        <is>
          <t>OPERATING</t>
        </is>
      </c>
    </row>
    <row r="25683">
      <c r="A25683" s="8" t="inlineStr">
        <is>
          <t>2026-08-05</t>
        </is>
      </c>
      <c r="B25683" s="8" t="n">
        <v>16</v>
      </c>
      <c r="C25683" s="8" t="n">
        <v>45</v>
      </c>
      <c r="D25683" s="8" t="inlineStr">
        <is>
          <t>Disneyland Park</t>
        </is>
      </c>
      <c r="E25683" s="8" t="inlineStr">
        <is>
          <t>Orbitron®</t>
        </is>
      </c>
      <c r="F25683" s="8" t="inlineStr">
        <is>
          <t>STANDBY</t>
        </is>
      </c>
      <c r="G25683" s="8" t="n">
        <v>45</v>
      </c>
      <c r="H25683" s="8" t="inlineStr">
        <is>
          <t>OPERATING</t>
        </is>
      </c>
    </row>
    <row r="25684">
      <c r="A25684" s="8" t="inlineStr">
        <is>
          <t>2026-08-05</t>
        </is>
      </c>
      <c r="B25684" s="8" t="n">
        <v>16</v>
      </c>
      <c r="C25684" s="8" t="n">
        <v>45</v>
      </c>
      <c r="D25684" s="8" t="inlineStr">
        <is>
          <t>Disneyland Park</t>
        </is>
      </c>
      <c r="E25684" s="8" t="inlineStr">
        <is>
          <t>Star Tours: The Adventures Continue*</t>
        </is>
      </c>
      <c r="F25684" s="8" t="inlineStr">
        <is>
          <t>STANDBY</t>
        </is>
      </c>
      <c r="G25684" s="8" t="n">
        <v>10</v>
      </c>
      <c r="H25684" s="8" t="inlineStr">
        <is>
          <t>OPERATING</t>
        </is>
      </c>
    </row>
    <row r="25685">
      <c r="A25685" s="8" t="inlineStr">
        <is>
          <t>2026-08-05</t>
        </is>
      </c>
      <c r="B25685" s="8" t="n">
        <v>16</v>
      </c>
      <c r="C25685" s="8" t="n">
        <v>45</v>
      </c>
      <c r="D25685" s="8" t="inlineStr">
        <is>
          <t>Disneyland Park</t>
        </is>
      </c>
      <c r="E25685" s="8" t="inlineStr">
        <is>
          <t>Star Wars Hyperspace Mountain</t>
        </is>
      </c>
      <c r="F25685" s="8" t="inlineStr">
        <is>
          <t>STANDBY</t>
        </is>
      </c>
      <c r="G25685" s="8" t="n">
        <v>40</v>
      </c>
      <c r="H25685" s="8" t="inlineStr">
        <is>
          <t>OPERATING</t>
        </is>
      </c>
    </row>
    <row r="25686">
      <c r="A25686" s="8" t="inlineStr">
        <is>
          <t>2026-08-05</t>
        </is>
      </c>
      <c r="B25686" s="8" t="n">
        <v>16</v>
      </c>
      <c r="C25686" s="8" t="n">
        <v>45</v>
      </c>
      <c r="D25686" s="8" t="inlineStr">
        <is>
          <t>Disneyland Park</t>
        </is>
      </c>
      <c r="E25686" s="8" t="inlineStr">
        <is>
          <t>Star Wars Hyperspace Mountain Single Rider</t>
        </is>
      </c>
      <c r="F25686" s="8" t="inlineStr">
        <is>
          <t>STANDBY</t>
        </is>
      </c>
      <c r="G25686" s="8" t="n">
        <v>35</v>
      </c>
      <c r="H25686" s="8" t="inlineStr">
        <is>
          <t>OPERATING</t>
        </is>
      </c>
    </row>
    <row r="25687">
      <c r="A25687" s="8" t="inlineStr">
        <is>
          <t>2026-08-05</t>
        </is>
      </c>
      <c r="B25687" s="8" t="n">
        <v>16</v>
      </c>
      <c r="C25687" s="8" t="n">
        <v>45</v>
      </c>
      <c r="D25687" s="8" t="inlineStr">
        <is>
          <t>Disneyland Park</t>
        </is>
      </c>
      <c r="E25687" s="8" t="inlineStr">
        <is>
          <t>Welcome to Starport: A Star Wars Encounter</t>
        </is>
      </c>
      <c r="F25687" s="8" t="inlineStr">
        <is>
          <t>STANDBY</t>
        </is>
      </c>
      <c r="G25687" s="8" t="n">
        <v>20</v>
      </c>
      <c r="H25687" s="8" t="inlineStr">
        <is>
          <t>OPERATING</t>
        </is>
      </c>
    </row>
    <row r="25688">
      <c r="A25688" s="8" t="inlineStr">
        <is>
          <t>2026-08-05</t>
        </is>
      </c>
      <c r="B25688" s="8" t="n">
        <v>16</v>
      </c>
      <c r="C25688" s="8" t="n">
        <v>45</v>
      </c>
      <c r="D25688" s="8" t="inlineStr">
        <is>
          <t>Disneyland Park</t>
        </is>
      </c>
      <c r="E25688" s="8" t="inlineStr">
        <is>
          <t>"it's a small world"</t>
        </is>
      </c>
      <c r="F25688" s="8" t="inlineStr">
        <is>
          <t>STANDBY</t>
        </is>
      </c>
      <c r="G25688" s="8" t="n">
        <v>5</v>
      </c>
      <c r="H25688" s="8" t="inlineStr">
        <is>
          <t>OPERATING</t>
        </is>
      </c>
    </row>
    <row r="25689">
      <c r="A25689" s="8" t="inlineStr">
        <is>
          <t>2026-08-05</t>
        </is>
      </c>
      <c r="B25689" s="8" t="n">
        <v>16</v>
      </c>
      <c r="C25689" s="8" t="n">
        <v>45</v>
      </c>
      <c r="D25689" s="8" t="inlineStr">
        <is>
          <t>Disneyland Park</t>
        </is>
      </c>
      <c r="E25689" s="8" t="inlineStr">
        <is>
          <t>Alice's Curious Labyrinth</t>
        </is>
      </c>
      <c r="F25689" s="8" t="inlineStr">
        <is>
          <t>STANDBY</t>
        </is>
      </c>
      <c r="G25689" s="8" t="n">
        <v>5</v>
      </c>
      <c r="H25689" s="8" t="inlineStr">
        <is>
          <t>OPERATING</t>
        </is>
      </c>
    </row>
    <row r="25690">
      <c r="A25690" s="8" t="inlineStr">
        <is>
          <t>2026-08-05</t>
        </is>
      </c>
      <c r="B25690" s="8" t="n">
        <v>16</v>
      </c>
      <c r="C25690" s="8" t="n">
        <v>45</v>
      </c>
      <c r="D25690" s="8" t="inlineStr">
        <is>
          <t>Disneyland Park</t>
        </is>
      </c>
      <c r="E25690" s="8" t="inlineStr">
        <is>
          <t>Blanche-Neige et les Sept Nains®</t>
        </is>
      </c>
      <c r="F25690" s="8" t="inlineStr">
        <is>
          <t>STANDBY</t>
        </is>
      </c>
      <c r="G25690" s="8" t="n">
        <v>30</v>
      </c>
      <c r="H25690" s="8" t="inlineStr">
        <is>
          <t>OPERATING</t>
        </is>
      </c>
    </row>
    <row r="25691">
      <c r="A25691" s="8" t="inlineStr">
        <is>
          <t>2026-08-05</t>
        </is>
      </c>
      <c r="B25691" s="8" t="n">
        <v>16</v>
      </c>
      <c r="C25691" s="8" t="n">
        <v>45</v>
      </c>
      <c r="D25691" s="8" t="inlineStr">
        <is>
          <t>Disneyland Park</t>
        </is>
      </c>
      <c r="E25691" s="8" t="inlineStr">
        <is>
          <t>Casey Jr. – le Petit Train du Cirque</t>
        </is>
      </c>
      <c r="F25691" s="8" t="inlineStr">
        <is>
          <t>STANDBY</t>
        </is>
      </c>
      <c r="G25691" s="8" t="n">
        <v>10</v>
      </c>
      <c r="H25691" s="8" t="inlineStr">
        <is>
          <t>OPERATING</t>
        </is>
      </c>
    </row>
    <row r="25692">
      <c r="A25692" s="8" t="inlineStr">
        <is>
          <t>2026-08-05</t>
        </is>
      </c>
      <c r="B25692" s="8" t="n">
        <v>16</v>
      </c>
      <c r="C25692" s="8" t="n">
        <v>45</v>
      </c>
      <c r="D25692" s="8" t="inlineStr">
        <is>
          <t>Disneyland Park</t>
        </is>
      </c>
      <c r="E25692" s="8" t="inlineStr">
        <is>
          <t>Disneyland Railroad Fantasyland Station</t>
        </is>
      </c>
      <c r="F25692" s="8" t="inlineStr">
        <is>
          <t>STANDBY</t>
        </is>
      </c>
      <c r="G25692" s="8" t="n">
        <v>0</v>
      </c>
      <c r="H25692" s="8" t="inlineStr">
        <is>
          <t>CLOSED</t>
        </is>
      </c>
    </row>
    <row r="25693">
      <c r="A25693" s="8" t="inlineStr">
        <is>
          <t>2026-08-05</t>
        </is>
      </c>
      <c r="B25693" s="8" t="n">
        <v>16</v>
      </c>
      <c r="C25693" s="8" t="n">
        <v>45</v>
      </c>
      <c r="D25693" s="8" t="inlineStr">
        <is>
          <t>Disneyland Park</t>
        </is>
      </c>
      <c r="E25693" s="8" t="inlineStr">
        <is>
          <t>Disneyland Railroad Main Street Station</t>
        </is>
      </c>
      <c r="F25693" s="8" t="inlineStr">
        <is>
          <t>STANDBY</t>
        </is>
      </c>
      <c r="G25693" s="8" t="n">
        <v>20</v>
      </c>
      <c r="H25693" s="8" t="inlineStr">
        <is>
          <t>OPERATING</t>
        </is>
      </c>
    </row>
    <row r="25694">
      <c r="A25694" s="8" t="inlineStr">
        <is>
          <t>2026-08-05</t>
        </is>
      </c>
      <c r="B25694" s="8" t="n">
        <v>16</v>
      </c>
      <c r="C25694" s="8" t="n">
        <v>45</v>
      </c>
      <c r="D25694" s="8" t="inlineStr">
        <is>
          <t>Disneyland Park</t>
        </is>
      </c>
      <c r="E25694" s="8" t="inlineStr">
        <is>
          <t>Dumbo the Flying Elephant</t>
        </is>
      </c>
      <c r="F25694" s="8" t="inlineStr">
        <is>
          <t>STANDBY</t>
        </is>
      </c>
      <c r="G25694" s="8" t="n">
        <v>35</v>
      </c>
      <c r="H25694" s="8" t="inlineStr">
        <is>
          <t>OPERATING</t>
        </is>
      </c>
    </row>
    <row r="25695">
      <c r="A25695" s="8" t="inlineStr">
        <is>
          <t>2026-08-05</t>
        </is>
      </c>
      <c r="B25695" s="8" t="n">
        <v>16</v>
      </c>
      <c r="C25695" s="8" t="n">
        <v>45</v>
      </c>
      <c r="D25695" s="8" t="inlineStr">
        <is>
          <t>Disneyland Park</t>
        </is>
      </c>
      <c r="E25695" s="8" t="inlineStr">
        <is>
          <t>La Tanière du Dragon</t>
        </is>
      </c>
      <c r="F25695" s="8" t="inlineStr">
        <is>
          <t>STANDBY</t>
        </is>
      </c>
      <c r="G25695" s="8" t="n">
        <v>0</v>
      </c>
      <c r="H25695" s="8" t="inlineStr">
        <is>
          <t>OPERATING</t>
        </is>
      </c>
    </row>
    <row r="25696">
      <c r="A25696" s="8" t="inlineStr">
        <is>
          <t>2026-08-05</t>
        </is>
      </c>
      <c r="B25696" s="8" t="n">
        <v>16</v>
      </c>
      <c r="C25696" s="8" t="n">
        <v>45</v>
      </c>
      <c r="D25696" s="8" t="inlineStr">
        <is>
          <t>Disneyland Park</t>
        </is>
      </c>
      <c r="E25696" s="8" t="inlineStr">
        <is>
          <t>Le Carrousel de Lancelot</t>
        </is>
      </c>
      <c r="F25696" s="8" t="inlineStr">
        <is>
          <t>STANDBY</t>
        </is>
      </c>
      <c r="G25696" s="8" t="n">
        <v>15</v>
      </c>
      <c r="H25696" s="8" t="inlineStr">
        <is>
          <t>OPERATING</t>
        </is>
      </c>
    </row>
    <row r="25697">
      <c r="A25697" s="8" t="inlineStr">
        <is>
          <t>2026-08-05</t>
        </is>
      </c>
      <c r="B25697" s="8" t="n">
        <v>16</v>
      </c>
      <c r="C25697" s="8" t="n">
        <v>45</v>
      </c>
      <c r="D25697" s="8" t="inlineStr">
        <is>
          <t>Disneyland Park</t>
        </is>
      </c>
      <c r="E25697" s="8" t="inlineStr">
        <is>
          <t>Le Pays des Contes de Fées, presented by Vittel</t>
        </is>
      </c>
      <c r="F25697" s="8" t="inlineStr">
        <is>
          <t>STANDBY</t>
        </is>
      </c>
      <c r="G25697" s="8" t="n">
        <v>5</v>
      </c>
      <c r="H25697" s="8" t="inlineStr">
        <is>
          <t>OPERATING</t>
        </is>
      </c>
    </row>
    <row r="25698">
      <c r="A25698" s="8" t="inlineStr">
        <is>
          <t>2026-08-05</t>
        </is>
      </c>
      <c r="B25698" s="8" t="n">
        <v>16</v>
      </c>
      <c r="C25698" s="8" t="n">
        <v>45</v>
      </c>
      <c r="D25698" s="8" t="inlineStr">
        <is>
          <t>Disneyland Park</t>
        </is>
      </c>
      <c r="E25698" s="8" t="inlineStr">
        <is>
          <t>Les Voyages de Pinocchio</t>
        </is>
      </c>
      <c r="F25698" s="8" t="inlineStr">
        <is>
          <t>STANDBY</t>
        </is>
      </c>
      <c r="G25698" s="8" t="n">
        <v>30</v>
      </c>
      <c r="H25698" s="8" t="inlineStr">
        <is>
          <t>OPERATING</t>
        </is>
      </c>
    </row>
    <row r="25699">
      <c r="A25699" s="8" t="inlineStr">
        <is>
          <t>2026-08-05</t>
        </is>
      </c>
      <c r="B25699" s="8" t="n">
        <v>16</v>
      </c>
      <c r="C25699" s="8" t="n">
        <v>45</v>
      </c>
      <c r="D25699" s="8" t="inlineStr">
        <is>
          <t>Disneyland Park</t>
        </is>
      </c>
      <c r="E25699" s="8" t="inlineStr">
        <is>
          <t>Mad Hatter's Tea Cups</t>
        </is>
      </c>
      <c r="F25699" s="8" t="inlineStr">
        <is>
          <t>STANDBY</t>
        </is>
      </c>
      <c r="G25699" s="8" t="n">
        <v>10</v>
      </c>
      <c r="H25699" s="8" t="inlineStr">
        <is>
          <t>OPERATING</t>
        </is>
      </c>
    </row>
    <row r="25700">
      <c r="A25700" s="8" t="inlineStr">
        <is>
          <t>2026-08-05</t>
        </is>
      </c>
      <c r="B25700" s="8" t="n">
        <v>16</v>
      </c>
      <c r="C25700" s="8" t="n">
        <v>45</v>
      </c>
      <c r="D25700" s="8" t="inlineStr">
        <is>
          <t>Disneyland Park</t>
        </is>
      </c>
      <c r="E25700" s="8" t="inlineStr">
        <is>
          <t>Meet Mickey Mouse</t>
        </is>
      </c>
      <c r="F25700" s="8" t="inlineStr">
        <is>
          <t>STANDBY</t>
        </is>
      </c>
      <c r="G25700" s="8" t="n">
        <v>0</v>
      </c>
      <c r="H25700" s="8" t="inlineStr">
        <is>
          <t>OPERATING</t>
        </is>
      </c>
    </row>
    <row r="25701">
      <c r="A25701" s="8" t="inlineStr">
        <is>
          <t>2026-08-05</t>
        </is>
      </c>
      <c r="B25701" s="8" t="n">
        <v>16</v>
      </c>
      <c r="C25701" s="8" t="n">
        <v>45</v>
      </c>
      <c r="D25701" s="8" t="inlineStr">
        <is>
          <t>Disneyland Park</t>
        </is>
      </c>
      <c r="E25701" s="8" t="inlineStr">
        <is>
          <t>Peter Pan's Flight</t>
        </is>
      </c>
      <c r="F25701" s="8" t="inlineStr">
        <is>
          <t>STANDBY</t>
        </is>
      </c>
      <c r="G25701" s="8" t="n">
        <v>65</v>
      </c>
      <c r="H25701" s="8" t="inlineStr">
        <is>
          <t>OPERATING</t>
        </is>
      </c>
    </row>
    <row r="25702">
      <c r="A25702" s="8" t="inlineStr">
        <is>
          <t>2026-08-05</t>
        </is>
      </c>
      <c r="B25702" s="8" t="n">
        <v>16</v>
      </c>
      <c r="C25702" s="8" t="n">
        <v>45</v>
      </c>
      <c r="D25702" s="8" t="inlineStr">
        <is>
          <t>Disneyland Park</t>
        </is>
      </c>
      <c r="E25702" s="8" t="inlineStr">
        <is>
          <t>Princess Pavilion</t>
        </is>
      </c>
      <c r="F25702" s="8" t="inlineStr">
        <is>
          <t>STANDBY</t>
        </is>
      </c>
      <c r="G25702" s="8" t="n">
        <v>0</v>
      </c>
      <c r="H25702" s="8" t="inlineStr">
        <is>
          <t>OPERATING</t>
        </is>
      </c>
    </row>
    <row r="25703">
      <c r="A25703" s="8" t="inlineStr">
        <is>
          <t>2026-08-05</t>
        </is>
      </c>
      <c r="B25703" s="8" t="n">
        <v>16</v>
      </c>
      <c r="C25703" s="8" t="n">
        <v>45</v>
      </c>
      <c r="D25703" s="8" t="inlineStr">
        <is>
          <t>Disneyland Park</t>
        </is>
      </c>
      <c r="E25703" s="8" t="inlineStr">
        <is>
          <t>Big Thunder Mountain</t>
        </is>
      </c>
      <c r="F25703" s="8" t="inlineStr">
        <is>
          <t>STANDBY</t>
        </is>
      </c>
      <c r="G25703" s="8" t="n">
        <v>60</v>
      </c>
      <c r="H25703" s="8" t="inlineStr">
        <is>
          <t>OPERATING</t>
        </is>
      </c>
    </row>
    <row r="25704">
      <c r="A25704" s="8" t="inlineStr">
        <is>
          <t>2026-08-05</t>
        </is>
      </c>
      <c r="B25704" s="8" t="n">
        <v>16</v>
      </c>
      <c r="C25704" s="8" t="n">
        <v>45</v>
      </c>
      <c r="D25704" s="8" t="inlineStr">
        <is>
          <t>Disneyland Park</t>
        </is>
      </c>
      <c r="E25704" s="8" t="inlineStr">
        <is>
          <t>Disneyland Railroad Frontierland Depot</t>
        </is>
      </c>
      <c r="F25704" s="8" t="inlineStr">
        <is>
          <t>STANDBY</t>
        </is>
      </c>
      <c r="G25704" s="8" t="n">
        <v>20</v>
      </c>
      <c r="H25704" s="8" t="inlineStr">
        <is>
          <t>OPERATING</t>
        </is>
      </c>
    </row>
    <row r="25705">
      <c r="A25705" s="8" t="inlineStr">
        <is>
          <t>2026-08-05</t>
        </is>
      </c>
      <c r="B25705" s="8" t="n">
        <v>16</v>
      </c>
      <c r="C25705" s="8" t="n">
        <v>45</v>
      </c>
      <c r="D25705" s="8" t="inlineStr">
        <is>
          <t>Disneyland Park</t>
        </is>
      </c>
      <c r="E25705" s="8" t="inlineStr">
        <is>
          <t>Frontierland Playground</t>
        </is>
      </c>
      <c r="F25705" s="8" t="inlineStr">
        <is>
          <t>STANDBY</t>
        </is>
      </c>
      <c r="G25705" s="8" t="n">
        <v>0</v>
      </c>
      <c r="H25705" s="8" t="inlineStr">
        <is>
          <t>OPERATING</t>
        </is>
      </c>
    </row>
    <row r="25706">
      <c r="A25706" s="8" t="inlineStr">
        <is>
          <t>2026-08-05</t>
        </is>
      </c>
      <c r="B25706" s="8" t="n">
        <v>16</v>
      </c>
      <c r="C25706" s="8" t="n">
        <v>45</v>
      </c>
      <c r="D25706" s="8" t="inlineStr">
        <is>
          <t>Disneyland Park</t>
        </is>
      </c>
      <c r="E25706" s="8" t="inlineStr">
        <is>
          <t>Phantom Manor</t>
        </is>
      </c>
      <c r="F25706" s="8" t="inlineStr">
        <is>
          <t>STANDBY</t>
        </is>
      </c>
      <c r="G25706" s="8" t="n">
        <v>25</v>
      </c>
      <c r="H25706" s="8" t="inlineStr">
        <is>
          <t>OPERATING</t>
        </is>
      </c>
    </row>
    <row r="25707">
      <c r="A25707" s="8" t="inlineStr">
        <is>
          <t>2026-08-05</t>
        </is>
      </c>
      <c r="B25707" s="8" t="n">
        <v>16</v>
      </c>
      <c r="C25707" s="8" t="n">
        <v>45</v>
      </c>
      <c r="D25707" s="8" t="inlineStr">
        <is>
          <t>Disneyland Park</t>
        </is>
      </c>
      <c r="E25707" s="8" t="inlineStr">
        <is>
          <t>River Rogue Keelboats</t>
        </is>
      </c>
      <c r="F25707" s="8" t="inlineStr">
        <is>
          <t>STANDBY</t>
        </is>
      </c>
      <c r="G25707" s="8" t="n">
        <v>0</v>
      </c>
      <c r="H25707" s="8" t="inlineStr">
        <is>
          <t>CLOSED</t>
        </is>
      </c>
    </row>
    <row r="25708">
      <c r="A25708" s="8" t="inlineStr">
        <is>
          <t>2026-08-05</t>
        </is>
      </c>
      <c r="B25708" s="8" t="n">
        <v>16</v>
      </c>
      <c r="C25708" s="8" t="n">
        <v>45</v>
      </c>
      <c r="D25708" s="8" t="inlineStr">
        <is>
          <t>Disneyland Park</t>
        </is>
      </c>
      <c r="E25708" s="8" t="inlineStr">
        <is>
          <t>Rustler Roundup Shootin' Gallery</t>
        </is>
      </c>
      <c r="F25708" s="8" t="inlineStr">
        <is>
          <t>STANDBY</t>
        </is>
      </c>
      <c r="G25708" s="8" t="n">
        <v>0</v>
      </c>
      <c r="H25708" s="8" t="inlineStr">
        <is>
          <t>OPERATING</t>
        </is>
      </c>
    </row>
    <row r="25709">
      <c r="A25709" s="8" t="inlineStr">
        <is>
          <t>2026-08-05</t>
        </is>
      </c>
      <c r="B25709" s="8" t="n">
        <v>16</v>
      </c>
      <c r="C25709" s="8" t="n">
        <v>45</v>
      </c>
      <c r="D25709" s="8" t="inlineStr">
        <is>
          <t>Disneyland Park</t>
        </is>
      </c>
      <c r="E25709" s="8" t="inlineStr">
        <is>
          <t>Thunder Mesa Riverboat Landing</t>
        </is>
      </c>
      <c r="F25709" s="8" t="inlineStr">
        <is>
          <t>STANDBY</t>
        </is>
      </c>
      <c r="G25709" s="8" t="n">
        <v>20</v>
      </c>
      <c r="H25709" s="8" t="inlineStr">
        <is>
          <t>OPERATING</t>
        </is>
      </c>
    </row>
    <row r="25710">
      <c r="A25710" s="8" t="inlineStr">
        <is>
          <t>2026-08-05</t>
        </is>
      </c>
      <c r="B25710" s="8" t="n">
        <v>16</v>
      </c>
      <c r="C25710" s="8" t="n">
        <v>45</v>
      </c>
      <c r="D25710" s="8" t="inlineStr">
        <is>
          <t>Disneyland Park</t>
        </is>
      </c>
      <c r="E25710" s="8" t="inlineStr">
        <is>
          <t>Disneyland Railroad Main Street Station</t>
        </is>
      </c>
      <c r="F25710" s="8" t="inlineStr">
        <is>
          <t>STANDBY</t>
        </is>
      </c>
      <c r="G25710" s="8" t="n">
        <v>0</v>
      </c>
      <c r="H25710" s="8" t="inlineStr">
        <is>
          <t>OPERATING</t>
        </is>
      </c>
    </row>
    <row r="25711">
      <c r="A25711" s="8" t="inlineStr">
        <is>
          <t>2026-08-05</t>
        </is>
      </c>
      <c r="B25711" s="8" t="n">
        <v>16</v>
      </c>
      <c r="C25711" s="8" t="n">
        <v>45</v>
      </c>
      <c r="D25711" s="8" t="inlineStr">
        <is>
          <t>Disneyland Park</t>
        </is>
      </c>
      <c r="E25711" s="8" t="inlineStr">
        <is>
          <t>Main Street Vehicles</t>
        </is>
      </c>
      <c r="F25711" s="8" t="inlineStr">
        <is>
          <t>STANDBY</t>
        </is>
      </c>
      <c r="G25711" s="8" t="n">
        <v>0</v>
      </c>
      <c r="H25711" s="8" t="inlineStr">
        <is>
          <t>CLOSED</t>
        </is>
      </c>
    </row>
    <row r="25712">
      <c r="A25712" s="8" t="inlineStr">
        <is>
          <t>2026-08-05</t>
        </is>
      </c>
      <c r="B25712" s="8" t="n">
        <v>16</v>
      </c>
      <c r="C25712" s="8" t="n">
        <v>45</v>
      </c>
      <c r="D25712" s="8" t="inlineStr">
        <is>
          <t>Disney Adventure World</t>
        </is>
      </c>
      <c r="E25712" s="8" t="inlineStr">
        <is>
          <t>Avengers Assemble: Flight Force</t>
        </is>
      </c>
      <c r="F25712" s="8" t="inlineStr">
        <is>
          <t>STANDBY</t>
        </is>
      </c>
      <c r="G25712" s="8" t="n">
        <v>25</v>
      </c>
      <c r="H25712" s="8" t="inlineStr">
        <is>
          <t>OPERATING</t>
        </is>
      </c>
    </row>
    <row r="25713">
      <c r="A25713" s="8" t="inlineStr">
        <is>
          <t>2026-08-05</t>
        </is>
      </c>
      <c r="B25713" s="8" t="n">
        <v>16</v>
      </c>
      <c r="C25713" s="8" t="n">
        <v>45</v>
      </c>
      <c r="D25713" s="8" t="inlineStr">
        <is>
          <t>Disney Adventure World</t>
        </is>
      </c>
      <c r="E25713" s="8" t="inlineStr">
        <is>
          <t>Avengers Assemble: Flight Force Single Rider</t>
        </is>
      </c>
      <c r="F25713" s="8" t="inlineStr">
        <is>
          <t>STANDBY</t>
        </is>
      </c>
      <c r="G25713" s="8" t="n">
        <v>20</v>
      </c>
      <c r="H25713" s="8" t="inlineStr">
        <is>
          <t>OPERATING</t>
        </is>
      </c>
    </row>
    <row r="25714">
      <c r="A25714" s="8" t="inlineStr">
        <is>
          <t>2026-08-05</t>
        </is>
      </c>
      <c r="B25714" s="8" t="n">
        <v>16</v>
      </c>
      <c r="C25714" s="8" t="n">
        <v>45</v>
      </c>
      <c r="D25714" s="8" t="inlineStr">
        <is>
          <t>Disney Adventure World</t>
        </is>
      </c>
      <c r="E25714" s="8" t="inlineStr">
        <is>
          <t>Spider-Man W.E.B. Adventure</t>
        </is>
      </c>
      <c r="F25714" s="8" t="inlineStr">
        <is>
          <t>STANDBY</t>
        </is>
      </c>
      <c r="G25714" s="8" t="n">
        <v>50</v>
      </c>
      <c r="H25714" s="8" t="inlineStr">
        <is>
          <t>OPERATING</t>
        </is>
      </c>
    </row>
    <row r="25715">
      <c r="A25715" s="8" t="inlineStr">
        <is>
          <t>2026-08-05</t>
        </is>
      </c>
      <c r="B25715" s="8" t="n">
        <v>16</v>
      </c>
      <c r="C25715" s="8" t="n">
        <v>45</v>
      </c>
      <c r="D25715" s="8" t="inlineStr">
        <is>
          <t>Disney Adventure World</t>
        </is>
      </c>
      <c r="E25715" s="8" t="inlineStr">
        <is>
          <t>Spider-Man W.E.B. Adventure Single Rider</t>
        </is>
      </c>
      <c r="F25715" s="8" t="inlineStr">
        <is>
          <t>STANDBY</t>
        </is>
      </c>
      <c r="G25715" s="8" t="n">
        <v>15</v>
      </c>
      <c r="H25715" s="8" t="inlineStr">
        <is>
          <t>OPERATING</t>
        </is>
      </c>
    </row>
    <row r="25716">
      <c r="A25716" s="8" t="inlineStr">
        <is>
          <t>2026-08-05</t>
        </is>
      </c>
      <c r="B25716" s="8" t="n">
        <v>16</v>
      </c>
      <c r="C25716" s="8" t="n">
        <v>45</v>
      </c>
      <c r="D25716" s="8" t="inlineStr">
        <is>
          <t>Disney Adventure World</t>
        </is>
      </c>
      <c r="E25716" s="8" t="inlineStr">
        <is>
          <t>The Twilight Zone Tower of Terror</t>
        </is>
      </c>
      <c r="F25716" s="8" t="inlineStr">
        <is>
          <t>STANDBY</t>
        </is>
      </c>
      <c r="G25716" s="8" t="n">
        <v>25</v>
      </c>
      <c r="H25716" s="8" t="inlineStr">
        <is>
          <t>OPERATING</t>
        </is>
      </c>
    </row>
    <row r="25717">
      <c r="A25717" s="8" t="inlineStr">
        <is>
          <t>2026-08-05</t>
        </is>
      </c>
      <c r="B25717" s="8" t="n">
        <v>16</v>
      </c>
      <c r="C25717" s="8" t="n">
        <v>45</v>
      </c>
      <c r="D25717" s="8" t="inlineStr">
        <is>
          <t>Disney Adventure World</t>
        </is>
      </c>
      <c r="E25717" s="8" t="inlineStr">
        <is>
          <t>Cars Quatre Roues Rallye</t>
        </is>
      </c>
      <c r="F25717" s="8" t="inlineStr">
        <is>
          <t>STANDBY</t>
        </is>
      </c>
      <c r="G25717" s="8" t="n">
        <v>15</v>
      </c>
      <c r="H25717" s="8" t="inlineStr">
        <is>
          <t>OPERATING</t>
        </is>
      </c>
    </row>
    <row r="25718">
      <c r="A25718" s="8" t="inlineStr">
        <is>
          <t>2026-08-05</t>
        </is>
      </c>
      <c r="B25718" s="8" t="n">
        <v>16</v>
      </c>
      <c r="C25718" s="8" t="n">
        <v>45</v>
      </c>
      <c r="D25718" s="8" t="inlineStr">
        <is>
          <t>Disney Adventure World</t>
        </is>
      </c>
      <c r="E25718" s="8" t="inlineStr">
        <is>
          <t>Cars ROAD TRIP</t>
        </is>
      </c>
      <c r="F25718" s="8" t="inlineStr">
        <is>
          <t>STANDBY</t>
        </is>
      </c>
      <c r="G25718" s="8" t="n">
        <v>20</v>
      </c>
      <c r="H25718" s="8" t="inlineStr">
        <is>
          <t>OPERATING</t>
        </is>
      </c>
    </row>
    <row r="25719">
      <c r="A25719" s="8" t="inlineStr">
        <is>
          <t>2026-08-05</t>
        </is>
      </c>
      <c r="B25719" s="8" t="n">
        <v>16</v>
      </c>
      <c r="C25719" s="8" t="n">
        <v>45</v>
      </c>
      <c r="D25719" s="8" t="inlineStr">
        <is>
          <t>Disney Adventure World</t>
        </is>
      </c>
      <c r="E25719" s="8" t="inlineStr">
        <is>
          <t>Crush's Coaster</t>
        </is>
      </c>
      <c r="F25719" s="8" t="inlineStr">
        <is>
          <t>STANDBY</t>
        </is>
      </c>
      <c r="G25719" s="8" t="n">
        <v>75</v>
      </c>
      <c r="H25719" s="8" t="inlineStr">
        <is>
          <t>OPERATING</t>
        </is>
      </c>
    </row>
    <row r="25720">
      <c r="A25720" s="8" t="inlineStr">
        <is>
          <t>2026-08-05</t>
        </is>
      </c>
      <c r="B25720" s="8" t="n">
        <v>16</v>
      </c>
      <c r="C25720" s="8" t="n">
        <v>45</v>
      </c>
      <c r="D25720" s="8" t="inlineStr">
        <is>
          <t>Disney Adventure World</t>
        </is>
      </c>
      <c r="E25720" s="8" t="inlineStr">
        <is>
          <t>Crush's Coaster Single Rider</t>
        </is>
      </c>
      <c r="F25720" s="8" t="inlineStr">
        <is>
          <t>STANDBY</t>
        </is>
      </c>
      <c r="G25720" s="8" t="n">
        <v>60</v>
      </c>
      <c r="H25720" s="8" t="inlineStr">
        <is>
          <t>OPERATING</t>
        </is>
      </c>
    </row>
    <row r="25721">
      <c r="A25721" s="8" t="inlineStr">
        <is>
          <t>2026-08-05</t>
        </is>
      </c>
      <c r="B25721" s="8" t="n">
        <v>16</v>
      </c>
      <c r="C25721" s="8" t="n">
        <v>45</v>
      </c>
      <c r="D25721" s="8" t="inlineStr">
        <is>
          <t>Disney Adventure World</t>
        </is>
      </c>
      <c r="E25721" s="8" t="inlineStr">
        <is>
          <t>Les Tapis Volants - Flying Carpets Over Agrabah®</t>
        </is>
      </c>
      <c r="F25721" s="8" t="inlineStr">
        <is>
          <t>STANDBY</t>
        </is>
      </c>
      <c r="G25721" s="8" t="n">
        <v>15</v>
      </c>
      <c r="H25721" s="8" t="inlineStr">
        <is>
          <t>OPERATING</t>
        </is>
      </c>
    </row>
    <row r="25722">
      <c r="A25722" s="8" t="inlineStr">
        <is>
          <t>2026-08-05</t>
        </is>
      </c>
      <c r="B25722" s="8" t="n">
        <v>16</v>
      </c>
      <c r="C25722" s="8" t="n">
        <v>45</v>
      </c>
      <c r="D25722" s="8" t="inlineStr">
        <is>
          <t>Disney Adventure World</t>
        </is>
      </c>
      <c r="E25722" s="8" t="inlineStr">
        <is>
          <t>Ratatouille : L’Aventure Totalement Toquée de Rémy​</t>
        </is>
      </c>
      <c r="F25722" s="8" t="inlineStr">
        <is>
          <t>STANDBY</t>
        </is>
      </c>
      <c r="G25722" s="8" t="n">
        <v>65</v>
      </c>
      <c r="H25722" s="8" t="inlineStr">
        <is>
          <t>OPERATING</t>
        </is>
      </c>
    </row>
    <row r="25723">
      <c r="A25723" s="8" t="inlineStr">
        <is>
          <t>2026-08-05</t>
        </is>
      </c>
      <c r="B25723" s="8" t="n">
        <v>16</v>
      </c>
      <c r="C25723" s="8" t="n">
        <v>45</v>
      </c>
      <c r="D25723" s="8" t="inlineStr">
        <is>
          <t>Disney Adventure World</t>
        </is>
      </c>
      <c r="E25723" s="8" t="inlineStr">
        <is>
          <t>Ratatouille: The Adventure Single Rider</t>
        </is>
      </c>
      <c r="F25723" s="8" t="inlineStr">
        <is>
          <t>STANDBY</t>
        </is>
      </c>
      <c r="G25723" s="8" t="n">
        <v>15</v>
      </c>
      <c r="H25723" s="8" t="inlineStr">
        <is>
          <t>OPERATING</t>
        </is>
      </c>
    </row>
    <row r="25724">
      <c r="A25724" s="8" t="inlineStr">
        <is>
          <t>2026-08-05</t>
        </is>
      </c>
      <c r="B25724" s="8" t="n">
        <v>16</v>
      </c>
      <c r="C25724" s="8" t="n">
        <v>45</v>
      </c>
      <c r="D25724" s="8" t="inlineStr">
        <is>
          <t>Disney Adventure World</t>
        </is>
      </c>
      <c r="E25724" s="8" t="inlineStr">
        <is>
          <t>RC Racer</t>
        </is>
      </c>
      <c r="F25724" s="8" t="inlineStr">
        <is>
          <t>STANDBY</t>
        </is>
      </c>
      <c r="G25724" s="8" t="n">
        <v>55</v>
      </c>
      <c r="H25724" s="8" t="inlineStr">
        <is>
          <t>OPERATING</t>
        </is>
      </c>
    </row>
    <row r="25725">
      <c r="A25725" s="8" t="inlineStr">
        <is>
          <t>2026-08-05</t>
        </is>
      </c>
      <c r="B25725" s="8" t="n">
        <v>16</v>
      </c>
      <c r="C25725" s="8" t="n">
        <v>45</v>
      </c>
      <c r="D25725" s="8" t="inlineStr">
        <is>
          <t>Disney Adventure World</t>
        </is>
      </c>
      <c r="E25725" s="8" t="inlineStr">
        <is>
          <t>RC Racer Single Rider</t>
        </is>
      </c>
      <c r="F25725" s="8" t="inlineStr">
        <is>
          <t>STANDBY</t>
        </is>
      </c>
      <c r="G25725" s="8" t="n">
        <v>50</v>
      </c>
      <c r="H25725" s="8" t="inlineStr">
        <is>
          <t>OPERATING</t>
        </is>
      </c>
    </row>
    <row r="25726">
      <c r="A25726" s="8" t="inlineStr">
        <is>
          <t>2026-08-05</t>
        </is>
      </c>
      <c r="B25726" s="8" t="n">
        <v>16</v>
      </c>
      <c r="C25726" s="8" t="n">
        <v>45</v>
      </c>
      <c r="D25726" s="8" t="inlineStr">
        <is>
          <t>Disney Adventure World</t>
        </is>
      </c>
      <c r="E25726" s="8" t="inlineStr">
        <is>
          <t>Slinky® Dog Zigzag Spin</t>
        </is>
      </c>
      <c r="F25726" s="8" t="inlineStr">
        <is>
          <t>STANDBY</t>
        </is>
      </c>
      <c r="G25726" s="8" t="n">
        <v>15</v>
      </c>
      <c r="H25726" s="8" t="inlineStr">
        <is>
          <t>OPERATING</t>
        </is>
      </c>
    </row>
    <row r="25727">
      <c r="A25727" s="8" t="inlineStr">
        <is>
          <t>2026-08-05</t>
        </is>
      </c>
      <c r="B25727" s="8" t="n">
        <v>16</v>
      </c>
      <c r="C25727" s="8" t="n">
        <v>45</v>
      </c>
      <c r="D25727" s="8" t="inlineStr">
        <is>
          <t>Disney Adventure World</t>
        </is>
      </c>
      <c r="E25727" s="8" t="inlineStr">
        <is>
          <t>Toy Soldiers Parachute Drop</t>
        </is>
      </c>
      <c r="F25727" s="8" t="inlineStr">
        <is>
          <t>STANDBY</t>
        </is>
      </c>
      <c r="G25727" s="8" t="n">
        <v>60</v>
      </c>
      <c r="H25727" s="8" t="inlineStr">
        <is>
          <t>OPERATING</t>
        </is>
      </c>
    </row>
    <row r="25728">
      <c r="A25728" s="8" t="inlineStr">
        <is>
          <t>2026-08-05</t>
        </is>
      </c>
      <c r="B25728" s="8" t="n">
        <v>16</v>
      </c>
      <c r="C25728" s="8" t="n">
        <v>45</v>
      </c>
      <c r="D25728" s="8" t="inlineStr">
        <is>
          <t>Disney Adventure World</t>
        </is>
      </c>
      <c r="E25728" s="8" t="inlineStr">
        <is>
          <t>Toy Soldiers Parachute Drop Single Rider</t>
        </is>
      </c>
      <c r="F25728" s="8" t="inlineStr">
        <is>
          <t>STANDBY</t>
        </is>
      </c>
      <c r="G25728" s="8" t="n">
        <v>35</v>
      </c>
      <c r="H25728" s="8" t="inlineStr">
        <is>
          <t>OPERATING</t>
        </is>
      </c>
    </row>
    <row r="25729">
      <c r="A25729" s="8" t="inlineStr">
        <is>
          <t>2026-08-05</t>
        </is>
      </c>
      <c r="B25729" s="8" t="n">
        <v>16</v>
      </c>
      <c r="C25729" s="8" t="n">
        <v>45</v>
      </c>
      <c r="D25729" s="8" t="inlineStr">
        <is>
          <t>Disney Adventure World</t>
        </is>
      </c>
      <c r="E25729" s="8" t="inlineStr">
        <is>
          <t>Entry to World of Frozen</t>
        </is>
      </c>
      <c r="F25729" s="8" t="inlineStr">
        <is>
          <t>STANDBY</t>
        </is>
      </c>
      <c r="G25729" s="8" t="n">
        <v>0</v>
      </c>
      <c r="H25729" s="8" t="inlineStr">
        <is>
          <t>OPERATING</t>
        </is>
      </c>
    </row>
    <row r="25730">
      <c r="A25730" s="8" t="inlineStr">
        <is>
          <t>2026-08-05</t>
        </is>
      </c>
      <c r="B25730" s="8" t="n">
        <v>16</v>
      </c>
      <c r="C25730" s="8" t="n">
        <v>45</v>
      </c>
      <c r="D25730" s="8" t="inlineStr">
        <is>
          <t>Disney Adventure World</t>
        </is>
      </c>
      <c r="E25730" s="8" t="inlineStr">
        <is>
          <t>Frozen Ever After</t>
        </is>
      </c>
      <c r="F25730" s="8" t="inlineStr">
        <is>
          <t>STANDBY</t>
        </is>
      </c>
      <c r="G25730" s="8" t="n">
        <v>0</v>
      </c>
      <c r="H25730" s="8" t="inlineStr">
        <is>
          <t>CLOSED</t>
        </is>
      </c>
    </row>
    <row r="25731">
      <c r="A25731" s="8" t="inlineStr">
        <is>
          <t>2026-08-05</t>
        </is>
      </c>
      <c r="B25731" s="8" t="n">
        <v>16</v>
      </c>
      <c r="C25731" s="8" t="n">
        <v>45</v>
      </c>
      <c r="D25731" s="8" t="inlineStr">
        <is>
          <t>Disney Adventure World</t>
        </is>
      </c>
      <c r="E25731" s="8" t="inlineStr">
        <is>
          <t>Raiponce Tangled Spin</t>
        </is>
      </c>
      <c r="F25731" s="8" t="inlineStr">
        <is>
          <t>STANDBY</t>
        </is>
      </c>
      <c r="G25731" s="8" t="n">
        <v>15</v>
      </c>
      <c r="H25731" s="8" t="inlineStr">
        <is>
          <t>OPERATING</t>
        </is>
      </c>
    </row>
    <row r="25732">
      <c r="A25732" s="8" t="inlineStr">
        <is>
          <t>2026-08-05</t>
        </is>
      </c>
      <c r="B25732" s="8" t="n">
        <v>17</v>
      </c>
      <c r="C25732" s="8" t="n">
        <v>1</v>
      </c>
      <c r="D25732" s="8" t="inlineStr">
        <is>
          <t>Disneyland Park</t>
        </is>
      </c>
      <c r="E25732" s="8" t="inlineStr">
        <is>
          <t>Adventure Isle</t>
        </is>
      </c>
      <c r="F25732" s="8" t="inlineStr">
        <is>
          <t>STANDBY</t>
        </is>
      </c>
      <c r="G25732" s="8" t="n">
        <v>0</v>
      </c>
      <c r="H25732" s="8" t="inlineStr">
        <is>
          <t>OPERATING</t>
        </is>
      </c>
    </row>
    <row r="25733">
      <c r="A25733" s="8" t="inlineStr">
        <is>
          <t>2026-08-05</t>
        </is>
      </c>
      <c r="B25733" s="8" t="n">
        <v>17</v>
      </c>
      <c r="C25733" s="8" t="n">
        <v>1</v>
      </c>
      <c r="D25733" s="8" t="inlineStr">
        <is>
          <t>Disneyland Park</t>
        </is>
      </c>
      <c r="E25733" s="8" t="inlineStr">
        <is>
          <t>Indiana Jones and the Temple of Peril Single Rider</t>
        </is>
      </c>
      <c r="F25733" s="8" t="inlineStr">
        <is>
          <t>STANDBY</t>
        </is>
      </c>
      <c r="G25733" s="8" t="n">
        <v>15</v>
      </c>
      <c r="H25733" s="8" t="inlineStr">
        <is>
          <t>OPERATING</t>
        </is>
      </c>
    </row>
    <row r="25734">
      <c r="A25734" s="8" t="inlineStr">
        <is>
          <t>2026-08-05</t>
        </is>
      </c>
      <c r="B25734" s="8" t="n">
        <v>17</v>
      </c>
      <c r="C25734" s="8" t="n">
        <v>1</v>
      </c>
      <c r="D25734" s="8" t="inlineStr">
        <is>
          <t>Disneyland Park</t>
        </is>
      </c>
      <c r="E25734" s="8" t="inlineStr">
        <is>
          <t>Indiana Jones™ and the Temple of Peril</t>
        </is>
      </c>
      <c r="F25734" s="8" t="inlineStr">
        <is>
          <t>STANDBY</t>
        </is>
      </c>
      <c r="G25734" s="8" t="n">
        <v>20</v>
      </c>
      <c r="H25734" s="8" t="inlineStr">
        <is>
          <t>OPERATING</t>
        </is>
      </c>
    </row>
    <row r="25735">
      <c r="A25735" s="8" t="inlineStr">
        <is>
          <t>2026-08-05</t>
        </is>
      </c>
      <c r="B25735" s="8" t="n">
        <v>17</v>
      </c>
      <c r="C25735" s="8" t="n">
        <v>1</v>
      </c>
      <c r="D25735" s="8" t="inlineStr">
        <is>
          <t>Disneyland Park</t>
        </is>
      </c>
      <c r="E25735" s="8" t="inlineStr">
        <is>
          <t>La Cabane des Robinson</t>
        </is>
      </c>
      <c r="F25735" s="8" t="inlineStr">
        <is>
          <t>STANDBY</t>
        </is>
      </c>
      <c r="G25735" s="8" t="n">
        <v>5</v>
      </c>
      <c r="H25735" s="8" t="inlineStr">
        <is>
          <t>OPERATING</t>
        </is>
      </c>
    </row>
    <row r="25736">
      <c r="A25736" s="8" t="inlineStr">
        <is>
          <t>2026-08-05</t>
        </is>
      </c>
      <c r="B25736" s="8" t="n">
        <v>17</v>
      </c>
      <c r="C25736" s="8" t="n">
        <v>1</v>
      </c>
      <c r="D25736" s="8" t="inlineStr">
        <is>
          <t>Disneyland Park</t>
        </is>
      </c>
      <c r="E25736" s="8" t="inlineStr">
        <is>
          <t>Le Passage Enchanté d'Aladdin</t>
        </is>
      </c>
      <c r="F25736" s="8" t="inlineStr">
        <is>
          <t>STANDBY</t>
        </is>
      </c>
      <c r="G25736" s="8" t="n">
        <v>0</v>
      </c>
      <c r="H25736" s="8" t="inlineStr">
        <is>
          <t>OPERATING</t>
        </is>
      </c>
    </row>
    <row r="25737">
      <c r="A25737" s="8" t="inlineStr">
        <is>
          <t>2026-08-05</t>
        </is>
      </c>
      <c r="B25737" s="8" t="n">
        <v>17</v>
      </c>
      <c r="C25737" s="8" t="n">
        <v>1</v>
      </c>
      <c r="D25737" s="8" t="inlineStr">
        <is>
          <t>Disneyland Park</t>
        </is>
      </c>
      <c r="E25737" s="8" t="inlineStr">
        <is>
          <t>Pirate Galleon</t>
        </is>
      </c>
      <c r="F25737" s="8" t="inlineStr">
        <is>
          <t>STANDBY</t>
        </is>
      </c>
      <c r="G25737" s="8" t="n">
        <v>0</v>
      </c>
      <c r="H25737" s="8" t="inlineStr">
        <is>
          <t>CLOSED</t>
        </is>
      </c>
    </row>
    <row r="25738">
      <c r="A25738" s="8" t="inlineStr">
        <is>
          <t>2026-08-05</t>
        </is>
      </c>
      <c r="B25738" s="8" t="n">
        <v>17</v>
      </c>
      <c r="C25738" s="8" t="n">
        <v>1</v>
      </c>
      <c r="D25738" s="8" t="inlineStr">
        <is>
          <t>Disneyland Park</t>
        </is>
      </c>
      <c r="E25738" s="8" t="inlineStr">
        <is>
          <t>Pirates of the Caribbean</t>
        </is>
      </c>
      <c r="F25738" s="8" t="inlineStr">
        <is>
          <t>STANDBY</t>
        </is>
      </c>
      <c r="G25738" s="8" t="n">
        <v>20</v>
      </c>
      <c r="H25738" s="8" t="inlineStr">
        <is>
          <t>OPERATING</t>
        </is>
      </c>
    </row>
    <row r="25739">
      <c r="A25739" s="8" t="inlineStr">
        <is>
          <t>2026-08-05</t>
        </is>
      </c>
      <c r="B25739" s="8" t="n">
        <v>17</v>
      </c>
      <c r="C25739" s="8" t="n">
        <v>1</v>
      </c>
      <c r="D25739" s="8" t="inlineStr">
        <is>
          <t>Disneyland Park</t>
        </is>
      </c>
      <c r="E25739" s="8" t="inlineStr">
        <is>
          <t>Pirates' Beach</t>
        </is>
      </c>
      <c r="F25739" s="8" t="inlineStr">
        <is>
          <t>STANDBY</t>
        </is>
      </c>
      <c r="G25739" s="8" t="n">
        <v>0</v>
      </c>
      <c r="H25739" s="8" t="inlineStr">
        <is>
          <t>OPERATING</t>
        </is>
      </c>
    </row>
    <row r="25740">
      <c r="A25740" s="8" t="inlineStr">
        <is>
          <t>2026-08-05</t>
        </is>
      </c>
      <c r="B25740" s="8" t="n">
        <v>17</v>
      </c>
      <c r="C25740" s="8" t="n">
        <v>1</v>
      </c>
      <c r="D25740" s="8" t="inlineStr">
        <is>
          <t>Disneyland Park</t>
        </is>
      </c>
      <c r="E25740" s="8" t="inlineStr">
        <is>
          <t>Autopia, presented by Avis</t>
        </is>
      </c>
      <c r="F25740" s="8" t="inlineStr">
        <is>
          <t>STANDBY</t>
        </is>
      </c>
      <c r="G25740" s="8" t="n">
        <v>35</v>
      </c>
      <c r="H25740" s="8" t="inlineStr">
        <is>
          <t>OPERATING</t>
        </is>
      </c>
    </row>
    <row r="25741">
      <c r="A25741" s="8" t="inlineStr">
        <is>
          <t>2026-08-05</t>
        </is>
      </c>
      <c r="B25741" s="8" t="n">
        <v>17</v>
      </c>
      <c r="C25741" s="8" t="n">
        <v>1</v>
      </c>
      <c r="D25741" s="8" t="inlineStr">
        <is>
          <t>Disneyland Park</t>
        </is>
      </c>
      <c r="E25741" s="8" t="inlineStr">
        <is>
          <t>Buzz Lightyear Laser Blast</t>
        </is>
      </c>
      <c r="F25741" s="8" t="inlineStr">
        <is>
          <t>STANDBY</t>
        </is>
      </c>
      <c r="G25741" s="8" t="n">
        <v>35</v>
      </c>
      <c r="H25741" s="8" t="inlineStr">
        <is>
          <t>OPERATING</t>
        </is>
      </c>
    </row>
    <row r="25742">
      <c r="A25742" s="8" t="inlineStr">
        <is>
          <t>2026-08-05</t>
        </is>
      </c>
      <c r="B25742" s="8" t="n">
        <v>17</v>
      </c>
      <c r="C25742" s="8" t="n">
        <v>1</v>
      </c>
      <c r="D25742" s="8" t="inlineStr">
        <is>
          <t>Disneyland Park</t>
        </is>
      </c>
      <c r="E25742" s="8" t="inlineStr">
        <is>
          <t>Disneyland Railroad Discoveryland Station</t>
        </is>
      </c>
      <c r="F25742" s="8" t="inlineStr">
        <is>
          <t>STANDBY</t>
        </is>
      </c>
      <c r="G25742" s="8" t="n">
        <v>0</v>
      </c>
      <c r="H25742" s="8" t="inlineStr">
        <is>
          <t>CLOSED</t>
        </is>
      </c>
    </row>
    <row r="25743">
      <c r="A25743" s="8" t="inlineStr">
        <is>
          <t>2026-08-05</t>
        </is>
      </c>
      <c r="B25743" s="8" t="n">
        <v>17</v>
      </c>
      <c r="C25743" s="8" t="n">
        <v>1</v>
      </c>
      <c r="D25743" s="8" t="inlineStr">
        <is>
          <t>Disneyland Park</t>
        </is>
      </c>
      <c r="E25743" s="8" t="inlineStr">
        <is>
          <t>Les Mystères du Nautilus</t>
        </is>
      </c>
      <c r="F25743" s="8" t="inlineStr">
        <is>
          <t>STANDBY</t>
        </is>
      </c>
      <c r="G25743" s="8" t="n">
        <v>5</v>
      </c>
      <c r="H25743" s="8" t="inlineStr">
        <is>
          <t>OPERATING</t>
        </is>
      </c>
    </row>
    <row r="25744">
      <c r="A25744" s="8" t="inlineStr">
        <is>
          <t>2026-08-05</t>
        </is>
      </c>
      <c r="B25744" s="8" t="n">
        <v>17</v>
      </c>
      <c r="C25744" s="8" t="n">
        <v>1</v>
      </c>
      <c r="D25744" s="8" t="inlineStr">
        <is>
          <t>Disneyland Park</t>
        </is>
      </c>
      <c r="E25744" s="8" t="inlineStr">
        <is>
          <t>Mickey’s PhilharMagic</t>
        </is>
      </c>
      <c r="F25744" s="8" t="inlineStr">
        <is>
          <t>STANDBY</t>
        </is>
      </c>
      <c r="G25744" s="8" t="n">
        <v>0</v>
      </c>
      <c r="H25744" s="8" t="inlineStr">
        <is>
          <t>OPERATING</t>
        </is>
      </c>
    </row>
    <row r="25745">
      <c r="A25745" s="8" t="inlineStr">
        <is>
          <t>2026-08-05</t>
        </is>
      </c>
      <c r="B25745" s="8" t="n">
        <v>17</v>
      </c>
      <c r="C25745" s="8" t="n">
        <v>1</v>
      </c>
      <c r="D25745" s="8" t="inlineStr">
        <is>
          <t>Disneyland Park</t>
        </is>
      </c>
      <c r="E25745" s="8" t="inlineStr">
        <is>
          <t>Orbitron®</t>
        </is>
      </c>
      <c r="F25745" s="8" t="inlineStr">
        <is>
          <t>STANDBY</t>
        </is>
      </c>
      <c r="G25745" s="8" t="n">
        <v>45</v>
      </c>
      <c r="H25745" s="8" t="inlineStr">
        <is>
          <t>OPERATING</t>
        </is>
      </c>
    </row>
    <row r="25746">
      <c r="A25746" s="8" t="inlineStr">
        <is>
          <t>2026-08-05</t>
        </is>
      </c>
      <c r="B25746" s="8" t="n">
        <v>17</v>
      </c>
      <c r="C25746" s="8" t="n">
        <v>1</v>
      </c>
      <c r="D25746" s="8" t="inlineStr">
        <is>
          <t>Disneyland Park</t>
        </is>
      </c>
      <c r="E25746" s="8" t="inlineStr">
        <is>
          <t>Star Tours: The Adventures Continue*</t>
        </is>
      </c>
      <c r="F25746" s="8" t="inlineStr">
        <is>
          <t>STANDBY</t>
        </is>
      </c>
      <c r="G25746" s="8" t="n">
        <v>10</v>
      </c>
      <c r="H25746" s="8" t="inlineStr">
        <is>
          <t>OPERATING</t>
        </is>
      </c>
    </row>
    <row r="25747">
      <c r="A25747" s="8" t="inlineStr">
        <is>
          <t>2026-08-05</t>
        </is>
      </c>
      <c r="B25747" s="8" t="n">
        <v>17</v>
      </c>
      <c r="C25747" s="8" t="n">
        <v>1</v>
      </c>
      <c r="D25747" s="8" t="inlineStr">
        <is>
          <t>Disneyland Park</t>
        </is>
      </c>
      <c r="E25747" s="8" t="inlineStr">
        <is>
          <t>Star Wars Hyperspace Mountain</t>
        </is>
      </c>
      <c r="F25747" s="8" t="inlineStr">
        <is>
          <t>STANDBY</t>
        </is>
      </c>
      <c r="G25747" s="8" t="n">
        <v>40</v>
      </c>
      <c r="H25747" s="8" t="inlineStr">
        <is>
          <t>OPERATING</t>
        </is>
      </c>
    </row>
    <row r="25748">
      <c r="A25748" s="8" t="inlineStr">
        <is>
          <t>2026-08-05</t>
        </is>
      </c>
      <c r="B25748" s="8" t="n">
        <v>17</v>
      </c>
      <c r="C25748" s="8" t="n">
        <v>1</v>
      </c>
      <c r="D25748" s="8" t="inlineStr">
        <is>
          <t>Disneyland Park</t>
        </is>
      </c>
      <c r="E25748" s="8" t="inlineStr">
        <is>
          <t>Star Wars Hyperspace Mountain Single Rider</t>
        </is>
      </c>
      <c r="F25748" s="8" t="inlineStr">
        <is>
          <t>STANDBY</t>
        </is>
      </c>
      <c r="G25748" s="8" t="n">
        <v>25</v>
      </c>
      <c r="H25748" s="8" t="inlineStr">
        <is>
          <t>OPERATING</t>
        </is>
      </c>
    </row>
    <row r="25749">
      <c r="A25749" s="8" t="inlineStr">
        <is>
          <t>2026-08-05</t>
        </is>
      </c>
      <c r="B25749" s="8" t="n">
        <v>17</v>
      </c>
      <c r="C25749" s="8" t="n">
        <v>1</v>
      </c>
      <c r="D25749" s="8" t="inlineStr">
        <is>
          <t>Disneyland Park</t>
        </is>
      </c>
      <c r="E25749" s="8" t="inlineStr">
        <is>
          <t>Welcome to Starport: A Star Wars Encounter</t>
        </is>
      </c>
      <c r="F25749" s="8" t="inlineStr">
        <is>
          <t>STANDBY</t>
        </is>
      </c>
      <c r="G25749" s="8" t="n">
        <v>20</v>
      </c>
      <c r="H25749" s="8" t="inlineStr">
        <is>
          <t>OPERATING</t>
        </is>
      </c>
    </row>
    <row r="25750">
      <c r="A25750" s="8" t="inlineStr">
        <is>
          <t>2026-08-05</t>
        </is>
      </c>
      <c r="B25750" s="8" t="n">
        <v>17</v>
      </c>
      <c r="C25750" s="8" t="n">
        <v>1</v>
      </c>
      <c r="D25750" s="8" t="inlineStr">
        <is>
          <t>Disneyland Park</t>
        </is>
      </c>
      <c r="E25750" s="8" t="inlineStr">
        <is>
          <t>"it's a small world"</t>
        </is>
      </c>
      <c r="F25750" s="8" t="inlineStr">
        <is>
          <t>STANDBY</t>
        </is>
      </c>
      <c r="G25750" s="8" t="n">
        <v>5</v>
      </c>
      <c r="H25750" s="8" t="inlineStr">
        <is>
          <t>OPERATING</t>
        </is>
      </c>
    </row>
    <row r="25751">
      <c r="A25751" s="8" t="inlineStr">
        <is>
          <t>2026-08-05</t>
        </is>
      </c>
      <c r="B25751" s="8" t="n">
        <v>17</v>
      </c>
      <c r="C25751" s="8" t="n">
        <v>1</v>
      </c>
      <c r="D25751" s="8" t="inlineStr">
        <is>
          <t>Disneyland Park</t>
        </is>
      </c>
      <c r="E25751" s="8" t="inlineStr">
        <is>
          <t>Alice's Curious Labyrinth</t>
        </is>
      </c>
      <c r="F25751" s="8" t="inlineStr">
        <is>
          <t>STANDBY</t>
        </is>
      </c>
      <c r="G25751" s="8" t="n">
        <v>5</v>
      </c>
      <c r="H25751" s="8" t="inlineStr">
        <is>
          <t>OPERATING</t>
        </is>
      </c>
    </row>
    <row r="25752">
      <c r="A25752" s="8" t="inlineStr">
        <is>
          <t>2026-08-05</t>
        </is>
      </c>
      <c r="B25752" s="8" t="n">
        <v>17</v>
      </c>
      <c r="C25752" s="8" t="n">
        <v>1</v>
      </c>
      <c r="D25752" s="8" t="inlineStr">
        <is>
          <t>Disneyland Park</t>
        </is>
      </c>
      <c r="E25752" s="8" t="inlineStr">
        <is>
          <t>Blanche-Neige et les Sept Nains®</t>
        </is>
      </c>
      <c r="F25752" s="8" t="inlineStr">
        <is>
          <t>STANDBY</t>
        </is>
      </c>
      <c r="G25752" s="8" t="n">
        <v>30</v>
      </c>
      <c r="H25752" s="8" t="inlineStr">
        <is>
          <t>OPERATING</t>
        </is>
      </c>
    </row>
    <row r="25753">
      <c r="A25753" s="8" t="inlineStr">
        <is>
          <t>2026-08-05</t>
        </is>
      </c>
      <c r="B25753" s="8" t="n">
        <v>17</v>
      </c>
      <c r="C25753" s="8" t="n">
        <v>1</v>
      </c>
      <c r="D25753" s="8" t="inlineStr">
        <is>
          <t>Disneyland Park</t>
        </is>
      </c>
      <c r="E25753" s="8" t="inlineStr">
        <is>
          <t>Casey Jr. – le Petit Train du Cirque</t>
        </is>
      </c>
      <c r="F25753" s="8" t="inlineStr">
        <is>
          <t>STANDBY</t>
        </is>
      </c>
      <c r="G25753" s="8" t="n">
        <v>20</v>
      </c>
      <c r="H25753" s="8" t="inlineStr">
        <is>
          <t>OPERATING</t>
        </is>
      </c>
    </row>
    <row r="25754">
      <c r="A25754" s="8" t="inlineStr">
        <is>
          <t>2026-08-05</t>
        </is>
      </c>
      <c r="B25754" s="8" t="n">
        <v>17</v>
      </c>
      <c r="C25754" s="8" t="n">
        <v>1</v>
      </c>
      <c r="D25754" s="8" t="inlineStr">
        <is>
          <t>Disneyland Park</t>
        </is>
      </c>
      <c r="E25754" s="8" t="inlineStr">
        <is>
          <t>Disneyland Railroad Fantasyland Station</t>
        </is>
      </c>
      <c r="F25754" s="8" t="inlineStr">
        <is>
          <t>STANDBY</t>
        </is>
      </c>
      <c r="G25754" s="8" t="n">
        <v>0</v>
      </c>
      <c r="H25754" s="8" t="inlineStr">
        <is>
          <t>CLOSED</t>
        </is>
      </c>
    </row>
    <row r="25755">
      <c r="A25755" s="8" t="inlineStr">
        <is>
          <t>2026-08-05</t>
        </is>
      </c>
      <c r="B25755" s="8" t="n">
        <v>17</v>
      </c>
      <c r="C25755" s="8" t="n">
        <v>1</v>
      </c>
      <c r="D25755" s="8" t="inlineStr">
        <is>
          <t>Disneyland Park</t>
        </is>
      </c>
      <c r="E25755" s="8" t="inlineStr">
        <is>
          <t>Disneyland Railroad Main Street Station</t>
        </is>
      </c>
      <c r="F25755" s="8" t="inlineStr">
        <is>
          <t>STANDBY</t>
        </is>
      </c>
      <c r="G25755" s="8" t="n">
        <v>20</v>
      </c>
      <c r="H25755" s="8" t="inlineStr">
        <is>
          <t>OPERATING</t>
        </is>
      </c>
    </row>
    <row r="25756">
      <c r="A25756" s="8" t="inlineStr">
        <is>
          <t>2026-08-05</t>
        </is>
      </c>
      <c r="B25756" s="8" t="n">
        <v>17</v>
      </c>
      <c r="C25756" s="8" t="n">
        <v>1</v>
      </c>
      <c r="D25756" s="8" t="inlineStr">
        <is>
          <t>Disneyland Park</t>
        </is>
      </c>
      <c r="E25756" s="8" t="inlineStr">
        <is>
          <t>Dumbo the Flying Elephant</t>
        </is>
      </c>
      <c r="F25756" s="8" t="inlineStr">
        <is>
          <t>STANDBY</t>
        </is>
      </c>
      <c r="G25756" s="8" t="n">
        <v>35</v>
      </c>
      <c r="H25756" s="8" t="inlineStr">
        <is>
          <t>OPERATING</t>
        </is>
      </c>
    </row>
    <row r="25757">
      <c r="A25757" s="8" t="inlineStr">
        <is>
          <t>2026-08-05</t>
        </is>
      </c>
      <c r="B25757" s="8" t="n">
        <v>17</v>
      </c>
      <c r="C25757" s="8" t="n">
        <v>1</v>
      </c>
      <c r="D25757" s="8" t="inlineStr">
        <is>
          <t>Disneyland Park</t>
        </is>
      </c>
      <c r="E25757" s="8" t="inlineStr">
        <is>
          <t>La Tanière du Dragon</t>
        </is>
      </c>
      <c r="F25757" s="8" t="inlineStr">
        <is>
          <t>STANDBY</t>
        </is>
      </c>
      <c r="G25757" s="8" t="n">
        <v>0</v>
      </c>
      <c r="H25757" s="8" t="inlineStr">
        <is>
          <t>OPERATING</t>
        </is>
      </c>
    </row>
    <row r="25758">
      <c r="A25758" s="8" t="inlineStr">
        <is>
          <t>2026-08-05</t>
        </is>
      </c>
      <c r="B25758" s="8" t="n">
        <v>17</v>
      </c>
      <c r="C25758" s="8" t="n">
        <v>1</v>
      </c>
      <c r="D25758" s="8" t="inlineStr">
        <is>
          <t>Disneyland Park</t>
        </is>
      </c>
      <c r="E25758" s="8" t="inlineStr">
        <is>
          <t>Le Carrousel de Lancelot</t>
        </is>
      </c>
      <c r="F25758" s="8" t="inlineStr">
        <is>
          <t>STANDBY</t>
        </is>
      </c>
      <c r="G25758" s="8" t="n">
        <v>15</v>
      </c>
      <c r="H25758" s="8" t="inlineStr">
        <is>
          <t>OPERATING</t>
        </is>
      </c>
    </row>
    <row r="25759">
      <c r="A25759" s="8" t="inlineStr">
        <is>
          <t>2026-08-05</t>
        </is>
      </c>
      <c r="B25759" s="8" t="n">
        <v>17</v>
      </c>
      <c r="C25759" s="8" t="n">
        <v>1</v>
      </c>
      <c r="D25759" s="8" t="inlineStr">
        <is>
          <t>Disneyland Park</t>
        </is>
      </c>
      <c r="E25759" s="8" t="inlineStr">
        <is>
          <t>Le Pays des Contes de Fées, presented by Vittel</t>
        </is>
      </c>
      <c r="F25759" s="8" t="inlineStr">
        <is>
          <t>STANDBY</t>
        </is>
      </c>
      <c r="G25759" s="8" t="n">
        <v>5</v>
      </c>
      <c r="H25759" s="8" t="inlineStr">
        <is>
          <t>OPERATING</t>
        </is>
      </c>
    </row>
    <row r="25760">
      <c r="A25760" s="8" t="inlineStr">
        <is>
          <t>2026-08-05</t>
        </is>
      </c>
      <c r="B25760" s="8" t="n">
        <v>17</v>
      </c>
      <c r="C25760" s="8" t="n">
        <v>1</v>
      </c>
      <c r="D25760" s="8" t="inlineStr">
        <is>
          <t>Disneyland Park</t>
        </is>
      </c>
      <c r="E25760" s="8" t="inlineStr">
        <is>
          <t>Les Voyages de Pinocchio</t>
        </is>
      </c>
      <c r="F25760" s="8" t="inlineStr">
        <is>
          <t>STANDBY</t>
        </is>
      </c>
      <c r="G25760" s="8" t="n">
        <v>15</v>
      </c>
      <c r="H25760" s="8" t="inlineStr">
        <is>
          <t>OPERATING</t>
        </is>
      </c>
    </row>
    <row r="25761">
      <c r="A25761" s="8" t="inlineStr">
        <is>
          <t>2026-08-05</t>
        </is>
      </c>
      <c r="B25761" s="8" t="n">
        <v>17</v>
      </c>
      <c r="C25761" s="8" t="n">
        <v>1</v>
      </c>
      <c r="D25761" s="8" t="inlineStr">
        <is>
          <t>Disneyland Park</t>
        </is>
      </c>
      <c r="E25761" s="8" t="inlineStr">
        <is>
          <t>Mad Hatter's Tea Cups</t>
        </is>
      </c>
      <c r="F25761" s="8" t="inlineStr">
        <is>
          <t>STANDBY</t>
        </is>
      </c>
      <c r="G25761" s="8" t="n">
        <v>10</v>
      </c>
      <c r="H25761" s="8" t="inlineStr">
        <is>
          <t>OPERATING</t>
        </is>
      </c>
    </row>
    <row r="25762">
      <c r="A25762" s="8" t="inlineStr">
        <is>
          <t>2026-08-05</t>
        </is>
      </c>
      <c r="B25762" s="8" t="n">
        <v>17</v>
      </c>
      <c r="C25762" s="8" t="n">
        <v>1</v>
      </c>
      <c r="D25762" s="8" t="inlineStr">
        <is>
          <t>Disneyland Park</t>
        </is>
      </c>
      <c r="E25762" s="8" t="inlineStr">
        <is>
          <t>Meet Mickey Mouse</t>
        </is>
      </c>
      <c r="F25762" s="8" t="inlineStr">
        <is>
          <t>STANDBY</t>
        </is>
      </c>
      <c r="G25762" s="8" t="n">
        <v>0</v>
      </c>
      <c r="H25762" s="8" t="inlineStr">
        <is>
          <t>OPERATING</t>
        </is>
      </c>
    </row>
    <row r="25763">
      <c r="A25763" s="8" t="inlineStr">
        <is>
          <t>2026-08-05</t>
        </is>
      </c>
      <c r="B25763" s="8" t="n">
        <v>17</v>
      </c>
      <c r="C25763" s="8" t="n">
        <v>1</v>
      </c>
      <c r="D25763" s="8" t="inlineStr">
        <is>
          <t>Disneyland Park</t>
        </is>
      </c>
      <c r="E25763" s="8" t="inlineStr">
        <is>
          <t>Peter Pan's Flight</t>
        </is>
      </c>
      <c r="F25763" s="8" t="inlineStr">
        <is>
          <t>STANDBY</t>
        </is>
      </c>
      <c r="G25763" s="8" t="n">
        <v>60</v>
      </c>
      <c r="H25763" s="8" t="inlineStr">
        <is>
          <t>OPERATING</t>
        </is>
      </c>
    </row>
    <row r="25764">
      <c r="A25764" s="8" t="inlineStr">
        <is>
          <t>2026-08-05</t>
        </is>
      </c>
      <c r="B25764" s="8" t="n">
        <v>17</v>
      </c>
      <c r="C25764" s="8" t="n">
        <v>1</v>
      </c>
      <c r="D25764" s="8" t="inlineStr">
        <is>
          <t>Disneyland Park</t>
        </is>
      </c>
      <c r="E25764" s="8" t="inlineStr">
        <is>
          <t>Princess Pavilion</t>
        </is>
      </c>
      <c r="F25764" s="8" t="inlineStr">
        <is>
          <t>STANDBY</t>
        </is>
      </c>
      <c r="G25764" s="8" t="n">
        <v>0</v>
      </c>
      <c r="H25764" s="8" t="inlineStr">
        <is>
          <t>OPERATING</t>
        </is>
      </c>
    </row>
    <row r="25765">
      <c r="A25765" s="8" t="inlineStr">
        <is>
          <t>2026-08-05</t>
        </is>
      </c>
      <c r="B25765" s="8" t="n">
        <v>17</v>
      </c>
      <c r="C25765" s="8" t="n">
        <v>1</v>
      </c>
      <c r="D25765" s="8" t="inlineStr">
        <is>
          <t>Disneyland Park</t>
        </is>
      </c>
      <c r="E25765" s="8" t="inlineStr">
        <is>
          <t>Big Thunder Mountain</t>
        </is>
      </c>
      <c r="F25765" s="8" t="inlineStr">
        <is>
          <t>STANDBY</t>
        </is>
      </c>
      <c r="G25765" s="8" t="n">
        <v>100</v>
      </c>
      <c r="H25765" s="8" t="inlineStr">
        <is>
          <t>OPERATING</t>
        </is>
      </c>
    </row>
    <row r="25766">
      <c r="A25766" s="8" t="inlineStr">
        <is>
          <t>2026-08-05</t>
        </is>
      </c>
      <c r="B25766" s="8" t="n">
        <v>17</v>
      </c>
      <c r="C25766" s="8" t="n">
        <v>1</v>
      </c>
      <c r="D25766" s="8" t="inlineStr">
        <is>
          <t>Disneyland Park</t>
        </is>
      </c>
      <c r="E25766" s="8" t="inlineStr">
        <is>
          <t>Disneyland Railroad Frontierland Depot</t>
        </is>
      </c>
      <c r="F25766" s="8" t="inlineStr">
        <is>
          <t>STANDBY</t>
        </is>
      </c>
      <c r="G25766" s="8" t="n">
        <v>30</v>
      </c>
      <c r="H25766" s="8" t="inlineStr">
        <is>
          <t>OPERATING</t>
        </is>
      </c>
    </row>
    <row r="25767">
      <c r="A25767" s="8" t="inlineStr">
        <is>
          <t>2026-08-05</t>
        </is>
      </c>
      <c r="B25767" s="8" t="n">
        <v>17</v>
      </c>
      <c r="C25767" s="8" t="n">
        <v>1</v>
      </c>
      <c r="D25767" s="8" t="inlineStr">
        <is>
          <t>Disneyland Park</t>
        </is>
      </c>
      <c r="E25767" s="8" t="inlineStr">
        <is>
          <t>Frontierland Playground</t>
        </is>
      </c>
      <c r="F25767" s="8" t="inlineStr">
        <is>
          <t>STANDBY</t>
        </is>
      </c>
      <c r="G25767" s="8" t="n">
        <v>0</v>
      </c>
      <c r="H25767" s="8" t="inlineStr">
        <is>
          <t>OPERATING</t>
        </is>
      </c>
    </row>
    <row r="25768">
      <c r="A25768" s="8" t="inlineStr">
        <is>
          <t>2026-08-05</t>
        </is>
      </c>
      <c r="B25768" s="8" t="n">
        <v>17</v>
      </c>
      <c r="C25768" s="8" t="n">
        <v>1</v>
      </c>
      <c r="D25768" s="8" t="inlineStr">
        <is>
          <t>Disneyland Park</t>
        </is>
      </c>
      <c r="E25768" s="8" t="inlineStr">
        <is>
          <t>Phantom Manor</t>
        </is>
      </c>
      <c r="F25768" s="8" t="inlineStr">
        <is>
          <t>STANDBY</t>
        </is>
      </c>
      <c r="G25768" s="8" t="n">
        <v>20</v>
      </c>
      <c r="H25768" s="8" t="inlineStr">
        <is>
          <t>OPERATING</t>
        </is>
      </c>
    </row>
    <row r="25769">
      <c r="A25769" s="8" t="inlineStr">
        <is>
          <t>2026-08-05</t>
        </is>
      </c>
      <c r="B25769" s="8" t="n">
        <v>17</v>
      </c>
      <c r="C25769" s="8" t="n">
        <v>1</v>
      </c>
      <c r="D25769" s="8" t="inlineStr">
        <is>
          <t>Disneyland Park</t>
        </is>
      </c>
      <c r="E25769" s="8" t="inlineStr">
        <is>
          <t>River Rogue Keelboats</t>
        </is>
      </c>
      <c r="F25769" s="8" t="inlineStr">
        <is>
          <t>STANDBY</t>
        </is>
      </c>
      <c r="G25769" s="8" t="n">
        <v>0</v>
      </c>
      <c r="H25769" s="8" t="inlineStr">
        <is>
          <t>CLOSED</t>
        </is>
      </c>
    </row>
    <row r="25770">
      <c r="A25770" s="8" t="inlineStr">
        <is>
          <t>2026-08-05</t>
        </is>
      </c>
      <c r="B25770" s="8" t="n">
        <v>17</v>
      </c>
      <c r="C25770" s="8" t="n">
        <v>1</v>
      </c>
      <c r="D25770" s="8" t="inlineStr">
        <is>
          <t>Disneyland Park</t>
        </is>
      </c>
      <c r="E25770" s="8" t="inlineStr">
        <is>
          <t>Rustler Roundup Shootin' Gallery</t>
        </is>
      </c>
      <c r="F25770" s="8" t="inlineStr">
        <is>
          <t>STANDBY</t>
        </is>
      </c>
      <c r="G25770" s="8" t="n">
        <v>0</v>
      </c>
      <c r="H25770" s="8" t="inlineStr">
        <is>
          <t>OPERATING</t>
        </is>
      </c>
    </row>
    <row r="25771">
      <c r="A25771" s="8" t="inlineStr">
        <is>
          <t>2026-08-05</t>
        </is>
      </c>
      <c r="B25771" s="8" t="n">
        <v>17</v>
      </c>
      <c r="C25771" s="8" t="n">
        <v>1</v>
      </c>
      <c r="D25771" s="8" t="inlineStr">
        <is>
          <t>Disneyland Park</t>
        </is>
      </c>
      <c r="E25771" s="8" t="inlineStr">
        <is>
          <t>Thunder Mesa Riverboat Landing</t>
        </is>
      </c>
      <c r="F25771" s="8" t="inlineStr">
        <is>
          <t>STANDBY</t>
        </is>
      </c>
      <c r="G25771" s="8" t="n">
        <v>20</v>
      </c>
      <c r="H25771" s="8" t="inlineStr">
        <is>
          <t>OPERATING</t>
        </is>
      </c>
    </row>
    <row r="25772">
      <c r="A25772" s="8" t="inlineStr">
        <is>
          <t>2026-08-05</t>
        </is>
      </c>
      <c r="B25772" s="8" t="n">
        <v>17</v>
      </c>
      <c r="C25772" s="8" t="n">
        <v>1</v>
      </c>
      <c r="D25772" s="8" t="inlineStr">
        <is>
          <t>Disneyland Park</t>
        </is>
      </c>
      <c r="E25772" s="8" t="inlineStr">
        <is>
          <t>Disneyland Railroad Main Street Station</t>
        </is>
      </c>
      <c r="F25772" s="8" t="inlineStr">
        <is>
          <t>STANDBY</t>
        </is>
      </c>
      <c r="G25772" s="8" t="n">
        <v>0</v>
      </c>
      <c r="H25772" s="8" t="inlineStr">
        <is>
          <t>OPERATING</t>
        </is>
      </c>
    </row>
    <row r="25773">
      <c r="A25773" s="8" t="inlineStr">
        <is>
          <t>2026-08-05</t>
        </is>
      </c>
      <c r="B25773" s="8" t="n">
        <v>17</v>
      </c>
      <c r="C25773" s="8" t="n">
        <v>1</v>
      </c>
      <c r="D25773" s="8" t="inlineStr">
        <is>
          <t>Disneyland Park</t>
        </is>
      </c>
      <c r="E25773" s="8" t="inlineStr">
        <is>
          <t>Main Street Vehicles</t>
        </is>
      </c>
      <c r="F25773" s="8" t="inlineStr">
        <is>
          <t>STANDBY</t>
        </is>
      </c>
      <c r="G25773" s="8" t="n">
        <v>0</v>
      </c>
      <c r="H25773" s="8" t="inlineStr">
        <is>
          <t>CLOSED</t>
        </is>
      </c>
    </row>
    <row r="25774">
      <c r="A25774" s="8" t="inlineStr">
        <is>
          <t>2026-08-05</t>
        </is>
      </c>
      <c r="B25774" s="8" t="n">
        <v>17</v>
      </c>
      <c r="C25774" s="8" t="n">
        <v>1</v>
      </c>
      <c r="D25774" s="8" t="inlineStr">
        <is>
          <t>Disney Adventure World</t>
        </is>
      </c>
      <c r="E25774" s="8" t="inlineStr">
        <is>
          <t>Avengers Assemble: Flight Force</t>
        </is>
      </c>
      <c r="F25774" s="8" t="inlineStr">
        <is>
          <t>STANDBY</t>
        </is>
      </c>
      <c r="G25774" s="8" t="n">
        <v>25</v>
      </c>
      <c r="H25774" s="8" t="inlineStr">
        <is>
          <t>OPERATING</t>
        </is>
      </c>
    </row>
    <row r="25775">
      <c r="A25775" s="8" t="inlineStr">
        <is>
          <t>2026-08-05</t>
        </is>
      </c>
      <c r="B25775" s="8" t="n">
        <v>17</v>
      </c>
      <c r="C25775" s="8" t="n">
        <v>1</v>
      </c>
      <c r="D25775" s="8" t="inlineStr">
        <is>
          <t>Disney Adventure World</t>
        </is>
      </c>
      <c r="E25775" s="8" t="inlineStr">
        <is>
          <t>Avengers Assemble: Flight Force Single Rider</t>
        </is>
      </c>
      <c r="F25775" s="8" t="inlineStr">
        <is>
          <t>STANDBY</t>
        </is>
      </c>
      <c r="G25775" s="8" t="n">
        <v>20</v>
      </c>
      <c r="H25775" s="8" t="inlineStr">
        <is>
          <t>OPERATING</t>
        </is>
      </c>
    </row>
    <row r="25776">
      <c r="A25776" s="8" t="inlineStr">
        <is>
          <t>2026-08-05</t>
        </is>
      </c>
      <c r="B25776" s="8" t="n">
        <v>17</v>
      </c>
      <c r="C25776" s="8" t="n">
        <v>1</v>
      </c>
      <c r="D25776" s="8" t="inlineStr">
        <is>
          <t>Disney Adventure World</t>
        </is>
      </c>
      <c r="E25776" s="8" t="inlineStr">
        <is>
          <t>Spider-Man W.E.B. Adventure</t>
        </is>
      </c>
      <c r="F25776" s="8" t="inlineStr">
        <is>
          <t>STANDBY</t>
        </is>
      </c>
      <c r="G25776" s="8" t="n">
        <v>60</v>
      </c>
      <c r="H25776" s="8" t="inlineStr">
        <is>
          <t>OPERATING</t>
        </is>
      </c>
    </row>
    <row r="25777">
      <c r="A25777" s="8" t="inlineStr">
        <is>
          <t>2026-08-05</t>
        </is>
      </c>
      <c r="B25777" s="8" t="n">
        <v>17</v>
      </c>
      <c r="C25777" s="8" t="n">
        <v>1</v>
      </c>
      <c r="D25777" s="8" t="inlineStr">
        <is>
          <t>Disney Adventure World</t>
        </is>
      </c>
      <c r="E25777" s="8" t="inlineStr">
        <is>
          <t>Spider-Man W.E.B. Adventure Single Rider</t>
        </is>
      </c>
      <c r="F25777" s="8" t="inlineStr">
        <is>
          <t>STANDBY</t>
        </is>
      </c>
      <c r="G25777" s="8" t="n">
        <v>25</v>
      </c>
      <c r="H25777" s="8" t="inlineStr">
        <is>
          <t>OPERATING</t>
        </is>
      </c>
    </row>
    <row r="25778">
      <c r="A25778" s="8" t="inlineStr">
        <is>
          <t>2026-08-05</t>
        </is>
      </c>
      <c r="B25778" s="8" t="n">
        <v>17</v>
      </c>
      <c r="C25778" s="8" t="n">
        <v>1</v>
      </c>
      <c r="D25778" s="8" t="inlineStr">
        <is>
          <t>Disney Adventure World</t>
        </is>
      </c>
      <c r="E25778" s="8" t="inlineStr">
        <is>
          <t>The Twilight Zone Tower of Terror</t>
        </is>
      </c>
      <c r="F25778" s="8" t="inlineStr">
        <is>
          <t>STANDBY</t>
        </is>
      </c>
      <c r="G25778" s="8" t="n">
        <v>25</v>
      </c>
      <c r="H25778" s="8" t="inlineStr">
        <is>
          <t>OPERATING</t>
        </is>
      </c>
    </row>
    <row r="25779">
      <c r="A25779" s="8" t="inlineStr">
        <is>
          <t>2026-08-05</t>
        </is>
      </c>
      <c r="B25779" s="8" t="n">
        <v>17</v>
      </c>
      <c r="C25779" s="8" t="n">
        <v>1</v>
      </c>
      <c r="D25779" s="8" t="inlineStr">
        <is>
          <t>Disney Adventure World</t>
        </is>
      </c>
      <c r="E25779" s="8" t="inlineStr">
        <is>
          <t>Cars Quatre Roues Rallye</t>
        </is>
      </c>
      <c r="F25779" s="8" t="inlineStr">
        <is>
          <t>STANDBY</t>
        </is>
      </c>
      <c r="G25779" s="8" t="n">
        <v>15</v>
      </c>
      <c r="H25779" s="8" t="inlineStr">
        <is>
          <t>OPERATING</t>
        </is>
      </c>
    </row>
    <row r="25780">
      <c r="A25780" s="8" t="inlineStr">
        <is>
          <t>2026-08-05</t>
        </is>
      </c>
      <c r="B25780" s="8" t="n">
        <v>17</v>
      </c>
      <c r="C25780" s="8" t="n">
        <v>1</v>
      </c>
      <c r="D25780" s="8" t="inlineStr">
        <is>
          <t>Disney Adventure World</t>
        </is>
      </c>
      <c r="E25780" s="8" t="inlineStr">
        <is>
          <t>Cars ROAD TRIP</t>
        </is>
      </c>
      <c r="F25780" s="8" t="inlineStr">
        <is>
          <t>STANDBY</t>
        </is>
      </c>
      <c r="G25780" s="8" t="n">
        <v>20</v>
      </c>
      <c r="H25780" s="8" t="inlineStr">
        <is>
          <t>OPERATING</t>
        </is>
      </c>
    </row>
    <row r="25781">
      <c r="A25781" s="8" t="inlineStr">
        <is>
          <t>2026-08-05</t>
        </is>
      </c>
      <c r="B25781" s="8" t="n">
        <v>17</v>
      </c>
      <c r="C25781" s="8" t="n">
        <v>1</v>
      </c>
      <c r="D25781" s="8" t="inlineStr">
        <is>
          <t>Disney Adventure World</t>
        </is>
      </c>
      <c r="E25781" s="8" t="inlineStr">
        <is>
          <t>Crush's Coaster</t>
        </is>
      </c>
      <c r="F25781" s="8" t="inlineStr">
        <is>
          <t>STANDBY</t>
        </is>
      </c>
      <c r="G25781" s="8" t="n">
        <v>85</v>
      </c>
      <c r="H25781" s="8" t="inlineStr">
        <is>
          <t>OPERATING</t>
        </is>
      </c>
    </row>
    <row r="25782">
      <c r="A25782" s="8" t="inlineStr">
        <is>
          <t>2026-08-05</t>
        </is>
      </c>
      <c r="B25782" s="8" t="n">
        <v>17</v>
      </c>
      <c r="C25782" s="8" t="n">
        <v>1</v>
      </c>
      <c r="D25782" s="8" t="inlineStr">
        <is>
          <t>Disney Adventure World</t>
        </is>
      </c>
      <c r="E25782" s="8" t="inlineStr">
        <is>
          <t>Crush's Coaster Single Rider</t>
        </is>
      </c>
      <c r="F25782" s="8" t="inlineStr">
        <is>
          <t>STANDBY</t>
        </is>
      </c>
      <c r="G25782" s="8" t="n">
        <v>45</v>
      </c>
      <c r="H25782" s="8" t="inlineStr">
        <is>
          <t>OPERATING</t>
        </is>
      </c>
    </row>
    <row r="25783">
      <c r="A25783" s="8" t="inlineStr">
        <is>
          <t>2026-08-05</t>
        </is>
      </c>
      <c r="B25783" s="8" t="n">
        <v>17</v>
      </c>
      <c r="C25783" s="8" t="n">
        <v>1</v>
      </c>
      <c r="D25783" s="8" t="inlineStr">
        <is>
          <t>Disney Adventure World</t>
        </is>
      </c>
      <c r="E25783" s="8" t="inlineStr">
        <is>
          <t>Les Tapis Volants - Flying Carpets Over Agrabah®</t>
        </is>
      </c>
      <c r="F25783" s="8" t="inlineStr">
        <is>
          <t>STANDBY</t>
        </is>
      </c>
      <c r="G25783" s="8" t="n">
        <v>25</v>
      </c>
      <c r="H25783" s="8" t="inlineStr">
        <is>
          <t>OPERATING</t>
        </is>
      </c>
    </row>
    <row r="25784">
      <c r="A25784" s="8" t="inlineStr">
        <is>
          <t>2026-08-05</t>
        </is>
      </c>
      <c r="B25784" s="8" t="n">
        <v>17</v>
      </c>
      <c r="C25784" s="8" t="n">
        <v>1</v>
      </c>
      <c r="D25784" s="8" t="inlineStr">
        <is>
          <t>Disney Adventure World</t>
        </is>
      </c>
      <c r="E25784" s="8" t="inlineStr">
        <is>
          <t>Ratatouille : L’Aventure Totalement Toquée de Rémy​</t>
        </is>
      </c>
      <c r="F25784" s="8" t="inlineStr">
        <is>
          <t>STANDBY</t>
        </is>
      </c>
      <c r="G25784" s="8" t="n">
        <v>45</v>
      </c>
      <c r="H25784" s="8" t="inlineStr">
        <is>
          <t>OPERATING</t>
        </is>
      </c>
    </row>
    <row r="25785">
      <c r="A25785" s="8" t="inlineStr">
        <is>
          <t>2026-08-05</t>
        </is>
      </c>
      <c r="B25785" s="8" t="n">
        <v>17</v>
      </c>
      <c r="C25785" s="8" t="n">
        <v>1</v>
      </c>
      <c r="D25785" s="8" t="inlineStr">
        <is>
          <t>Disney Adventure World</t>
        </is>
      </c>
      <c r="E25785" s="8" t="inlineStr">
        <is>
          <t>Ratatouille: The Adventure Single Rider</t>
        </is>
      </c>
      <c r="F25785" s="8" t="inlineStr">
        <is>
          <t>STANDBY</t>
        </is>
      </c>
      <c r="G25785" s="8" t="n">
        <v>20</v>
      </c>
      <c r="H25785" s="8" t="inlineStr">
        <is>
          <t>OPERATING</t>
        </is>
      </c>
    </row>
    <row r="25786">
      <c r="A25786" s="8" t="inlineStr">
        <is>
          <t>2026-08-05</t>
        </is>
      </c>
      <c r="B25786" s="8" t="n">
        <v>17</v>
      </c>
      <c r="C25786" s="8" t="n">
        <v>1</v>
      </c>
      <c r="D25786" s="8" t="inlineStr">
        <is>
          <t>Disney Adventure World</t>
        </is>
      </c>
      <c r="E25786" s="8" t="inlineStr">
        <is>
          <t>RC Racer</t>
        </is>
      </c>
      <c r="F25786" s="8" t="inlineStr">
        <is>
          <t>STANDBY</t>
        </is>
      </c>
      <c r="G25786" s="8" t="n">
        <v>55</v>
      </c>
      <c r="H25786" s="8" t="inlineStr">
        <is>
          <t>OPERATING</t>
        </is>
      </c>
    </row>
    <row r="25787">
      <c r="A25787" s="8" t="inlineStr">
        <is>
          <t>2026-08-05</t>
        </is>
      </c>
      <c r="B25787" s="8" t="n">
        <v>17</v>
      </c>
      <c r="C25787" s="8" t="n">
        <v>1</v>
      </c>
      <c r="D25787" s="8" t="inlineStr">
        <is>
          <t>Disney Adventure World</t>
        </is>
      </c>
      <c r="E25787" s="8" t="inlineStr">
        <is>
          <t>RC Racer Single Rider</t>
        </is>
      </c>
      <c r="F25787" s="8" t="inlineStr">
        <is>
          <t>STANDBY</t>
        </is>
      </c>
      <c r="G25787" s="8" t="n">
        <v>50</v>
      </c>
      <c r="H25787" s="8" t="inlineStr">
        <is>
          <t>OPERATING</t>
        </is>
      </c>
    </row>
    <row r="25788">
      <c r="A25788" s="8" t="inlineStr">
        <is>
          <t>2026-08-05</t>
        </is>
      </c>
      <c r="B25788" s="8" t="n">
        <v>17</v>
      </c>
      <c r="C25788" s="8" t="n">
        <v>1</v>
      </c>
      <c r="D25788" s="8" t="inlineStr">
        <is>
          <t>Disney Adventure World</t>
        </is>
      </c>
      <c r="E25788" s="8" t="inlineStr">
        <is>
          <t>Slinky® Dog Zigzag Spin</t>
        </is>
      </c>
      <c r="F25788" s="8" t="inlineStr">
        <is>
          <t>STANDBY</t>
        </is>
      </c>
      <c r="G25788" s="8" t="n">
        <v>15</v>
      </c>
      <c r="H25788" s="8" t="inlineStr">
        <is>
          <t>OPERATING</t>
        </is>
      </c>
    </row>
    <row r="25789">
      <c r="A25789" s="8" t="inlineStr">
        <is>
          <t>2026-08-05</t>
        </is>
      </c>
      <c r="B25789" s="8" t="n">
        <v>17</v>
      </c>
      <c r="C25789" s="8" t="n">
        <v>1</v>
      </c>
      <c r="D25789" s="8" t="inlineStr">
        <is>
          <t>Disney Adventure World</t>
        </is>
      </c>
      <c r="E25789" s="8" t="inlineStr">
        <is>
          <t>Toy Soldiers Parachute Drop</t>
        </is>
      </c>
      <c r="F25789" s="8" t="inlineStr">
        <is>
          <t>STANDBY</t>
        </is>
      </c>
      <c r="G25789" s="8" t="n">
        <v>50</v>
      </c>
      <c r="H25789" s="8" t="inlineStr">
        <is>
          <t>OPERATING</t>
        </is>
      </c>
    </row>
    <row r="25790">
      <c r="A25790" s="8" t="inlineStr">
        <is>
          <t>2026-08-05</t>
        </is>
      </c>
      <c r="B25790" s="8" t="n">
        <v>17</v>
      </c>
      <c r="C25790" s="8" t="n">
        <v>1</v>
      </c>
      <c r="D25790" s="8" t="inlineStr">
        <is>
          <t>Disney Adventure World</t>
        </is>
      </c>
      <c r="E25790" s="8" t="inlineStr">
        <is>
          <t>Toy Soldiers Parachute Drop Single Rider</t>
        </is>
      </c>
      <c r="F25790" s="8" t="inlineStr">
        <is>
          <t>STANDBY</t>
        </is>
      </c>
      <c r="G25790" s="8" t="n">
        <v>35</v>
      </c>
      <c r="H25790" s="8" t="inlineStr">
        <is>
          <t>OPERATING</t>
        </is>
      </c>
    </row>
    <row r="25791">
      <c r="A25791" s="8" t="inlineStr">
        <is>
          <t>2026-08-05</t>
        </is>
      </c>
      <c r="B25791" s="8" t="n">
        <v>17</v>
      </c>
      <c r="C25791" s="8" t="n">
        <v>1</v>
      </c>
      <c r="D25791" s="8" t="inlineStr">
        <is>
          <t>Disney Adventure World</t>
        </is>
      </c>
      <c r="E25791" s="8" t="inlineStr">
        <is>
          <t>Entry to World of Frozen</t>
        </is>
      </c>
      <c r="F25791" s="8" t="inlineStr">
        <is>
          <t>STANDBY</t>
        </is>
      </c>
      <c r="G25791" s="8" t="n">
        <v>0</v>
      </c>
      <c r="H25791" s="8" t="inlineStr">
        <is>
          <t>OPERATING</t>
        </is>
      </c>
    </row>
    <row r="25792">
      <c r="A25792" s="8" t="inlineStr">
        <is>
          <t>2026-08-05</t>
        </is>
      </c>
      <c r="B25792" s="8" t="n">
        <v>17</v>
      </c>
      <c r="C25792" s="8" t="n">
        <v>1</v>
      </c>
      <c r="D25792" s="8" t="inlineStr">
        <is>
          <t>Disney Adventure World</t>
        </is>
      </c>
      <c r="E25792" s="8" t="inlineStr">
        <is>
          <t>Frozen Ever After</t>
        </is>
      </c>
      <c r="F25792" s="8" t="inlineStr">
        <is>
          <t>STANDBY</t>
        </is>
      </c>
      <c r="G25792" s="8" t="n">
        <v>0</v>
      </c>
      <c r="H25792" s="8" t="inlineStr">
        <is>
          <t>CLOSED</t>
        </is>
      </c>
    </row>
    <row r="25793">
      <c r="A25793" s="8" t="inlineStr">
        <is>
          <t>2026-08-05</t>
        </is>
      </c>
      <c r="B25793" s="8" t="n">
        <v>17</v>
      </c>
      <c r="C25793" s="8" t="n">
        <v>1</v>
      </c>
      <c r="D25793" s="8" t="inlineStr">
        <is>
          <t>Disney Adventure World</t>
        </is>
      </c>
      <c r="E25793" s="8" t="inlineStr">
        <is>
          <t>Raiponce Tangled Spin</t>
        </is>
      </c>
      <c r="F25793" s="8" t="inlineStr">
        <is>
          <t>STANDBY</t>
        </is>
      </c>
      <c r="G25793" s="8" t="n">
        <v>5</v>
      </c>
      <c r="H25793" s="8" t="inlineStr">
        <is>
          <t>OPERATING</t>
        </is>
      </c>
    </row>
    <row r="25794">
      <c r="A25794" s="8" t="inlineStr">
        <is>
          <t>2026-08-05</t>
        </is>
      </c>
      <c r="B25794" s="8" t="n">
        <v>17</v>
      </c>
      <c r="C25794" s="8" t="n">
        <v>15</v>
      </c>
      <c r="D25794" s="8" t="inlineStr">
        <is>
          <t>Disneyland Park</t>
        </is>
      </c>
      <c r="E25794" s="8" t="inlineStr">
        <is>
          <t>Adventure Isle</t>
        </is>
      </c>
      <c r="F25794" s="8" t="inlineStr">
        <is>
          <t>STANDBY</t>
        </is>
      </c>
      <c r="G25794" s="8" t="n">
        <v>0</v>
      </c>
      <c r="H25794" s="8" t="inlineStr">
        <is>
          <t>OPERATING</t>
        </is>
      </c>
    </row>
    <row r="25795">
      <c r="A25795" s="8" t="inlineStr">
        <is>
          <t>2026-08-05</t>
        </is>
      </c>
      <c r="B25795" s="8" t="n">
        <v>17</v>
      </c>
      <c r="C25795" s="8" t="n">
        <v>15</v>
      </c>
      <c r="D25795" s="8" t="inlineStr">
        <is>
          <t>Disneyland Park</t>
        </is>
      </c>
      <c r="E25795" s="8" t="inlineStr">
        <is>
          <t>Indiana Jones and the Temple of Peril Single Rider</t>
        </is>
      </c>
      <c r="F25795" s="8" t="inlineStr">
        <is>
          <t>STANDBY</t>
        </is>
      </c>
      <c r="G25795" s="8" t="n">
        <v>15</v>
      </c>
      <c r="H25795" s="8" t="inlineStr">
        <is>
          <t>OPERATING</t>
        </is>
      </c>
    </row>
    <row r="25796">
      <c r="A25796" s="8" t="inlineStr">
        <is>
          <t>2026-08-05</t>
        </is>
      </c>
      <c r="B25796" s="8" t="n">
        <v>17</v>
      </c>
      <c r="C25796" s="8" t="n">
        <v>15</v>
      </c>
      <c r="D25796" s="8" t="inlineStr">
        <is>
          <t>Disneyland Park</t>
        </is>
      </c>
      <c r="E25796" s="8" t="inlineStr">
        <is>
          <t>Indiana Jones™ and the Temple of Peril</t>
        </is>
      </c>
      <c r="F25796" s="8" t="inlineStr">
        <is>
          <t>STANDBY</t>
        </is>
      </c>
      <c r="G25796" s="8" t="n">
        <v>20</v>
      </c>
      <c r="H25796" s="8" t="inlineStr">
        <is>
          <t>OPERATING</t>
        </is>
      </c>
    </row>
    <row r="25797">
      <c r="A25797" s="8" t="inlineStr">
        <is>
          <t>2026-08-05</t>
        </is>
      </c>
      <c r="B25797" s="8" t="n">
        <v>17</v>
      </c>
      <c r="C25797" s="8" t="n">
        <v>15</v>
      </c>
      <c r="D25797" s="8" t="inlineStr">
        <is>
          <t>Disneyland Park</t>
        </is>
      </c>
      <c r="E25797" s="8" t="inlineStr">
        <is>
          <t>La Cabane des Robinson</t>
        </is>
      </c>
      <c r="F25797" s="8" t="inlineStr">
        <is>
          <t>STANDBY</t>
        </is>
      </c>
      <c r="G25797" s="8" t="n">
        <v>5</v>
      </c>
      <c r="H25797" s="8" t="inlineStr">
        <is>
          <t>OPERATING</t>
        </is>
      </c>
    </row>
    <row r="25798">
      <c r="A25798" s="8" t="inlineStr">
        <is>
          <t>2026-08-05</t>
        </is>
      </c>
      <c r="B25798" s="8" t="n">
        <v>17</v>
      </c>
      <c r="C25798" s="8" t="n">
        <v>15</v>
      </c>
      <c r="D25798" s="8" t="inlineStr">
        <is>
          <t>Disneyland Park</t>
        </is>
      </c>
      <c r="E25798" s="8" t="inlineStr">
        <is>
          <t>Le Passage Enchanté d'Aladdin</t>
        </is>
      </c>
      <c r="F25798" s="8" t="inlineStr">
        <is>
          <t>STANDBY</t>
        </is>
      </c>
      <c r="G25798" s="8" t="n">
        <v>0</v>
      </c>
      <c r="H25798" s="8" t="inlineStr">
        <is>
          <t>OPERATING</t>
        </is>
      </c>
    </row>
    <row r="25799">
      <c r="A25799" s="8" t="inlineStr">
        <is>
          <t>2026-08-05</t>
        </is>
      </c>
      <c r="B25799" s="8" t="n">
        <v>17</v>
      </c>
      <c r="C25799" s="8" t="n">
        <v>15</v>
      </c>
      <c r="D25799" s="8" t="inlineStr">
        <is>
          <t>Disneyland Park</t>
        </is>
      </c>
      <c r="E25799" s="8" t="inlineStr">
        <is>
          <t>Pirate Galleon</t>
        </is>
      </c>
      <c r="F25799" s="8" t="inlineStr">
        <is>
          <t>STANDBY</t>
        </is>
      </c>
      <c r="G25799" s="8" t="n">
        <v>0</v>
      </c>
      <c r="H25799" s="8" t="inlineStr">
        <is>
          <t>CLOSED</t>
        </is>
      </c>
    </row>
    <row r="25800">
      <c r="A25800" s="8" t="inlineStr">
        <is>
          <t>2026-08-05</t>
        </is>
      </c>
      <c r="B25800" s="8" t="n">
        <v>17</v>
      </c>
      <c r="C25800" s="8" t="n">
        <v>15</v>
      </c>
      <c r="D25800" s="8" t="inlineStr">
        <is>
          <t>Disneyland Park</t>
        </is>
      </c>
      <c r="E25800" s="8" t="inlineStr">
        <is>
          <t>Pirates of the Caribbean</t>
        </is>
      </c>
      <c r="F25800" s="8" t="inlineStr">
        <is>
          <t>STANDBY</t>
        </is>
      </c>
      <c r="G25800" s="8" t="n">
        <v>15</v>
      </c>
      <c r="H25800" s="8" t="inlineStr">
        <is>
          <t>OPERATING</t>
        </is>
      </c>
    </row>
    <row r="25801">
      <c r="A25801" s="8" t="inlineStr">
        <is>
          <t>2026-08-05</t>
        </is>
      </c>
      <c r="B25801" s="8" t="n">
        <v>17</v>
      </c>
      <c r="C25801" s="8" t="n">
        <v>15</v>
      </c>
      <c r="D25801" s="8" t="inlineStr">
        <is>
          <t>Disneyland Park</t>
        </is>
      </c>
      <c r="E25801" s="8" t="inlineStr">
        <is>
          <t>Pirates' Beach</t>
        </is>
      </c>
      <c r="F25801" s="8" t="inlineStr">
        <is>
          <t>STANDBY</t>
        </is>
      </c>
      <c r="G25801" s="8" t="n">
        <v>0</v>
      </c>
      <c r="H25801" s="8" t="inlineStr">
        <is>
          <t>OPERATING</t>
        </is>
      </c>
    </row>
    <row r="25802">
      <c r="A25802" s="8" t="inlineStr">
        <is>
          <t>2026-08-05</t>
        </is>
      </c>
      <c r="B25802" s="8" t="n">
        <v>17</v>
      </c>
      <c r="C25802" s="8" t="n">
        <v>15</v>
      </c>
      <c r="D25802" s="8" t="inlineStr">
        <is>
          <t>Disneyland Park</t>
        </is>
      </c>
      <c r="E25802" s="8" t="inlineStr">
        <is>
          <t>Autopia, presented by Avis</t>
        </is>
      </c>
      <c r="F25802" s="8" t="inlineStr">
        <is>
          <t>STANDBY</t>
        </is>
      </c>
      <c r="G25802" s="8" t="n">
        <v>35</v>
      </c>
      <c r="H25802" s="8" t="inlineStr">
        <is>
          <t>OPERATING</t>
        </is>
      </c>
    </row>
    <row r="25803">
      <c r="A25803" s="8" t="inlineStr">
        <is>
          <t>2026-08-05</t>
        </is>
      </c>
      <c r="B25803" s="8" t="n">
        <v>17</v>
      </c>
      <c r="C25803" s="8" t="n">
        <v>15</v>
      </c>
      <c r="D25803" s="8" t="inlineStr">
        <is>
          <t>Disneyland Park</t>
        </is>
      </c>
      <c r="E25803" s="8" t="inlineStr">
        <is>
          <t>Buzz Lightyear Laser Blast</t>
        </is>
      </c>
      <c r="F25803" s="8" t="inlineStr">
        <is>
          <t>STANDBY</t>
        </is>
      </c>
      <c r="G25803" s="8" t="n">
        <v>35</v>
      </c>
      <c r="H25803" s="8" t="inlineStr">
        <is>
          <t>OPERATING</t>
        </is>
      </c>
    </row>
    <row r="25804">
      <c r="A25804" s="8" t="inlineStr">
        <is>
          <t>2026-08-05</t>
        </is>
      </c>
      <c r="B25804" s="8" t="n">
        <v>17</v>
      </c>
      <c r="C25804" s="8" t="n">
        <v>15</v>
      </c>
      <c r="D25804" s="8" t="inlineStr">
        <is>
          <t>Disneyland Park</t>
        </is>
      </c>
      <c r="E25804" s="8" t="inlineStr">
        <is>
          <t>Disneyland Railroad Discoveryland Station</t>
        </is>
      </c>
      <c r="F25804" s="8" t="inlineStr">
        <is>
          <t>STANDBY</t>
        </is>
      </c>
      <c r="G25804" s="8" t="n">
        <v>0</v>
      </c>
      <c r="H25804" s="8" t="inlineStr">
        <is>
          <t>CLOSED</t>
        </is>
      </c>
    </row>
    <row r="25805">
      <c r="A25805" s="8" t="inlineStr">
        <is>
          <t>2026-08-05</t>
        </is>
      </c>
      <c r="B25805" s="8" t="n">
        <v>17</v>
      </c>
      <c r="C25805" s="8" t="n">
        <v>15</v>
      </c>
      <c r="D25805" s="8" t="inlineStr">
        <is>
          <t>Disneyland Park</t>
        </is>
      </c>
      <c r="E25805" s="8" t="inlineStr">
        <is>
          <t>Les Mystères du Nautilus</t>
        </is>
      </c>
      <c r="F25805" s="8" t="inlineStr">
        <is>
          <t>STANDBY</t>
        </is>
      </c>
      <c r="G25805" s="8" t="n">
        <v>5</v>
      </c>
      <c r="H25805" s="8" t="inlineStr">
        <is>
          <t>OPERATING</t>
        </is>
      </c>
    </row>
    <row r="25806">
      <c r="A25806" s="8" t="inlineStr">
        <is>
          <t>2026-08-05</t>
        </is>
      </c>
      <c r="B25806" s="8" t="n">
        <v>17</v>
      </c>
      <c r="C25806" s="8" t="n">
        <v>15</v>
      </c>
      <c r="D25806" s="8" t="inlineStr">
        <is>
          <t>Disneyland Park</t>
        </is>
      </c>
      <c r="E25806" s="8" t="inlineStr">
        <is>
          <t>Mickey’s PhilharMagic</t>
        </is>
      </c>
      <c r="F25806" s="8" t="inlineStr">
        <is>
          <t>STANDBY</t>
        </is>
      </c>
      <c r="G25806" s="8" t="n">
        <v>0</v>
      </c>
      <c r="H25806" s="8" t="inlineStr">
        <is>
          <t>OPERATING</t>
        </is>
      </c>
    </row>
    <row r="25807">
      <c r="A25807" s="8" t="inlineStr">
        <is>
          <t>2026-08-05</t>
        </is>
      </c>
      <c r="B25807" s="8" t="n">
        <v>17</v>
      </c>
      <c r="C25807" s="8" t="n">
        <v>15</v>
      </c>
      <c r="D25807" s="8" t="inlineStr">
        <is>
          <t>Disneyland Park</t>
        </is>
      </c>
      <c r="E25807" s="8" t="inlineStr">
        <is>
          <t>Orbitron®</t>
        </is>
      </c>
      <c r="F25807" s="8" t="inlineStr">
        <is>
          <t>STANDBY</t>
        </is>
      </c>
      <c r="G25807" s="8" t="n">
        <v>40</v>
      </c>
      <c r="H25807" s="8" t="inlineStr">
        <is>
          <t>OPERATING</t>
        </is>
      </c>
    </row>
    <row r="25808">
      <c r="A25808" s="8" t="inlineStr">
        <is>
          <t>2026-08-05</t>
        </is>
      </c>
      <c r="B25808" s="8" t="n">
        <v>17</v>
      </c>
      <c r="C25808" s="8" t="n">
        <v>15</v>
      </c>
      <c r="D25808" s="8" t="inlineStr">
        <is>
          <t>Disneyland Park</t>
        </is>
      </c>
      <c r="E25808" s="8" t="inlineStr">
        <is>
          <t>Star Tours: The Adventures Continue*</t>
        </is>
      </c>
      <c r="F25808" s="8" t="inlineStr">
        <is>
          <t>STANDBY</t>
        </is>
      </c>
      <c r="G25808" s="8" t="n">
        <v>10</v>
      </c>
      <c r="H25808" s="8" t="inlineStr">
        <is>
          <t>OPERATING</t>
        </is>
      </c>
    </row>
    <row r="25809">
      <c r="A25809" s="8" t="inlineStr">
        <is>
          <t>2026-08-05</t>
        </is>
      </c>
      <c r="B25809" s="8" t="n">
        <v>17</v>
      </c>
      <c r="C25809" s="8" t="n">
        <v>15</v>
      </c>
      <c r="D25809" s="8" t="inlineStr">
        <is>
          <t>Disneyland Park</t>
        </is>
      </c>
      <c r="E25809" s="8" t="inlineStr">
        <is>
          <t>Star Wars Hyperspace Mountain</t>
        </is>
      </c>
      <c r="F25809" s="8" t="inlineStr">
        <is>
          <t>STANDBY</t>
        </is>
      </c>
      <c r="G25809" s="8" t="n">
        <v>40</v>
      </c>
      <c r="H25809" s="8" t="inlineStr">
        <is>
          <t>OPERATING</t>
        </is>
      </c>
    </row>
    <row r="25810">
      <c r="A25810" s="8" t="inlineStr">
        <is>
          <t>2026-08-05</t>
        </is>
      </c>
      <c r="B25810" s="8" t="n">
        <v>17</v>
      </c>
      <c r="C25810" s="8" t="n">
        <v>15</v>
      </c>
      <c r="D25810" s="8" t="inlineStr">
        <is>
          <t>Disneyland Park</t>
        </is>
      </c>
      <c r="E25810" s="8" t="inlineStr">
        <is>
          <t>Star Wars Hyperspace Mountain Single Rider</t>
        </is>
      </c>
      <c r="F25810" s="8" t="inlineStr">
        <is>
          <t>STANDBY</t>
        </is>
      </c>
      <c r="G25810" s="8" t="n">
        <v>30</v>
      </c>
      <c r="H25810" s="8" t="inlineStr">
        <is>
          <t>OPERATING</t>
        </is>
      </c>
    </row>
    <row r="25811">
      <c r="A25811" s="8" t="inlineStr">
        <is>
          <t>2026-08-05</t>
        </is>
      </c>
      <c r="B25811" s="8" t="n">
        <v>17</v>
      </c>
      <c r="C25811" s="8" t="n">
        <v>15</v>
      </c>
      <c r="D25811" s="8" t="inlineStr">
        <is>
          <t>Disneyland Park</t>
        </is>
      </c>
      <c r="E25811" s="8" t="inlineStr">
        <is>
          <t>Welcome to Starport: A Star Wars Encounter</t>
        </is>
      </c>
      <c r="F25811" s="8" t="inlineStr">
        <is>
          <t>STANDBY</t>
        </is>
      </c>
      <c r="G25811" s="8" t="n">
        <v>0</v>
      </c>
      <c r="H25811" s="8" t="inlineStr">
        <is>
          <t>CLOSED</t>
        </is>
      </c>
    </row>
    <row r="25812">
      <c r="A25812" s="8" t="inlineStr">
        <is>
          <t>2026-08-05</t>
        </is>
      </c>
      <c r="B25812" s="8" t="n">
        <v>17</v>
      </c>
      <c r="C25812" s="8" t="n">
        <v>15</v>
      </c>
      <c r="D25812" s="8" t="inlineStr">
        <is>
          <t>Disneyland Park</t>
        </is>
      </c>
      <c r="E25812" s="8" t="inlineStr">
        <is>
          <t>"it's a small world"</t>
        </is>
      </c>
      <c r="F25812" s="8" t="inlineStr">
        <is>
          <t>STANDBY</t>
        </is>
      </c>
      <c r="G25812" s="8" t="n">
        <v>5</v>
      </c>
      <c r="H25812" s="8" t="inlineStr">
        <is>
          <t>OPERATING</t>
        </is>
      </c>
    </row>
    <row r="25813">
      <c r="A25813" s="8" t="inlineStr">
        <is>
          <t>2026-08-05</t>
        </is>
      </c>
      <c r="B25813" s="8" t="n">
        <v>17</v>
      </c>
      <c r="C25813" s="8" t="n">
        <v>15</v>
      </c>
      <c r="D25813" s="8" t="inlineStr">
        <is>
          <t>Disneyland Park</t>
        </is>
      </c>
      <c r="E25813" s="8" t="inlineStr">
        <is>
          <t>Alice's Curious Labyrinth</t>
        </is>
      </c>
      <c r="F25813" s="8" t="inlineStr">
        <is>
          <t>STANDBY</t>
        </is>
      </c>
      <c r="G25813" s="8" t="n">
        <v>5</v>
      </c>
      <c r="H25813" s="8" t="inlineStr">
        <is>
          <t>OPERATING</t>
        </is>
      </c>
    </row>
    <row r="25814">
      <c r="A25814" s="8" t="inlineStr">
        <is>
          <t>2026-08-05</t>
        </is>
      </c>
      <c r="B25814" s="8" t="n">
        <v>17</v>
      </c>
      <c r="C25814" s="8" t="n">
        <v>15</v>
      </c>
      <c r="D25814" s="8" t="inlineStr">
        <is>
          <t>Disneyland Park</t>
        </is>
      </c>
      <c r="E25814" s="8" t="inlineStr">
        <is>
          <t>Blanche-Neige et les Sept Nains®</t>
        </is>
      </c>
      <c r="F25814" s="8" t="inlineStr">
        <is>
          <t>STANDBY</t>
        </is>
      </c>
      <c r="G25814" s="8" t="n">
        <v>30</v>
      </c>
      <c r="H25814" s="8" t="inlineStr">
        <is>
          <t>OPERATING</t>
        </is>
      </c>
    </row>
    <row r="25815">
      <c r="A25815" s="8" t="inlineStr">
        <is>
          <t>2026-08-05</t>
        </is>
      </c>
      <c r="B25815" s="8" t="n">
        <v>17</v>
      </c>
      <c r="C25815" s="8" t="n">
        <v>15</v>
      </c>
      <c r="D25815" s="8" t="inlineStr">
        <is>
          <t>Disneyland Park</t>
        </is>
      </c>
      <c r="E25815" s="8" t="inlineStr">
        <is>
          <t>Casey Jr. – le Petit Train du Cirque</t>
        </is>
      </c>
      <c r="F25815" s="8" t="inlineStr">
        <is>
          <t>STANDBY</t>
        </is>
      </c>
      <c r="G25815" s="8" t="n">
        <v>20</v>
      </c>
      <c r="H25815" s="8" t="inlineStr">
        <is>
          <t>OPERATING</t>
        </is>
      </c>
    </row>
    <row r="25816">
      <c r="A25816" s="8" t="inlineStr">
        <is>
          <t>2026-08-05</t>
        </is>
      </c>
      <c r="B25816" s="8" t="n">
        <v>17</v>
      </c>
      <c r="C25816" s="8" t="n">
        <v>15</v>
      </c>
      <c r="D25816" s="8" t="inlineStr">
        <is>
          <t>Disneyland Park</t>
        </is>
      </c>
      <c r="E25816" s="8" t="inlineStr">
        <is>
          <t>Disneyland Railroad Fantasyland Station</t>
        </is>
      </c>
      <c r="F25816" s="8" t="inlineStr">
        <is>
          <t>STANDBY</t>
        </is>
      </c>
      <c r="G25816" s="8" t="n">
        <v>0</v>
      </c>
      <c r="H25816" s="8" t="inlineStr">
        <is>
          <t>CLOSED</t>
        </is>
      </c>
    </row>
    <row r="25817">
      <c r="A25817" s="8" t="inlineStr">
        <is>
          <t>2026-08-05</t>
        </is>
      </c>
      <c r="B25817" s="8" t="n">
        <v>17</v>
      </c>
      <c r="C25817" s="8" t="n">
        <v>15</v>
      </c>
      <c r="D25817" s="8" t="inlineStr">
        <is>
          <t>Disneyland Park</t>
        </is>
      </c>
      <c r="E25817" s="8" t="inlineStr">
        <is>
          <t>Disneyland Railroad Main Street Station</t>
        </is>
      </c>
      <c r="F25817" s="8" t="inlineStr">
        <is>
          <t>STANDBY</t>
        </is>
      </c>
      <c r="G25817" s="8" t="n">
        <v>20</v>
      </c>
      <c r="H25817" s="8" t="inlineStr">
        <is>
          <t>OPERATING</t>
        </is>
      </c>
    </row>
    <row r="25818">
      <c r="A25818" s="8" t="inlineStr">
        <is>
          <t>2026-08-05</t>
        </is>
      </c>
      <c r="B25818" s="8" t="n">
        <v>17</v>
      </c>
      <c r="C25818" s="8" t="n">
        <v>15</v>
      </c>
      <c r="D25818" s="8" t="inlineStr">
        <is>
          <t>Disneyland Park</t>
        </is>
      </c>
      <c r="E25818" s="8" t="inlineStr">
        <is>
          <t>Dumbo the Flying Elephant</t>
        </is>
      </c>
      <c r="F25818" s="8" t="inlineStr">
        <is>
          <t>STANDBY</t>
        </is>
      </c>
      <c r="G25818" s="8" t="n">
        <v>35</v>
      </c>
      <c r="H25818" s="8" t="inlineStr">
        <is>
          <t>OPERATING</t>
        </is>
      </c>
    </row>
    <row r="25819">
      <c r="A25819" s="8" t="inlineStr">
        <is>
          <t>2026-08-05</t>
        </is>
      </c>
      <c r="B25819" s="8" t="n">
        <v>17</v>
      </c>
      <c r="C25819" s="8" t="n">
        <v>15</v>
      </c>
      <c r="D25819" s="8" t="inlineStr">
        <is>
          <t>Disneyland Park</t>
        </is>
      </c>
      <c r="E25819" s="8" t="inlineStr">
        <is>
          <t>La Tanière du Dragon</t>
        </is>
      </c>
      <c r="F25819" s="8" t="inlineStr">
        <is>
          <t>STANDBY</t>
        </is>
      </c>
      <c r="G25819" s="8" t="n">
        <v>0</v>
      </c>
      <c r="H25819" s="8" t="inlineStr">
        <is>
          <t>OPERATING</t>
        </is>
      </c>
    </row>
    <row r="25820">
      <c r="A25820" s="8" t="inlineStr">
        <is>
          <t>2026-08-05</t>
        </is>
      </c>
      <c r="B25820" s="8" t="n">
        <v>17</v>
      </c>
      <c r="C25820" s="8" t="n">
        <v>15</v>
      </c>
      <c r="D25820" s="8" t="inlineStr">
        <is>
          <t>Disneyland Park</t>
        </is>
      </c>
      <c r="E25820" s="8" t="inlineStr">
        <is>
          <t>Le Carrousel de Lancelot</t>
        </is>
      </c>
      <c r="F25820" s="8" t="inlineStr">
        <is>
          <t>STANDBY</t>
        </is>
      </c>
      <c r="G25820" s="8" t="n">
        <v>15</v>
      </c>
      <c r="H25820" s="8" t="inlineStr">
        <is>
          <t>OPERATING</t>
        </is>
      </c>
    </row>
    <row r="25821">
      <c r="A25821" s="8" t="inlineStr">
        <is>
          <t>2026-08-05</t>
        </is>
      </c>
      <c r="B25821" s="8" t="n">
        <v>17</v>
      </c>
      <c r="C25821" s="8" t="n">
        <v>15</v>
      </c>
      <c r="D25821" s="8" t="inlineStr">
        <is>
          <t>Disneyland Park</t>
        </is>
      </c>
      <c r="E25821" s="8" t="inlineStr">
        <is>
          <t>Le Pays des Contes de Fées, presented by Vittel</t>
        </is>
      </c>
      <c r="F25821" s="8" t="inlineStr">
        <is>
          <t>STANDBY</t>
        </is>
      </c>
      <c r="G25821" s="8" t="n">
        <v>5</v>
      </c>
      <c r="H25821" s="8" t="inlineStr">
        <is>
          <t>OPERATING</t>
        </is>
      </c>
    </row>
    <row r="25822">
      <c r="A25822" s="8" t="inlineStr">
        <is>
          <t>2026-08-05</t>
        </is>
      </c>
      <c r="B25822" s="8" t="n">
        <v>17</v>
      </c>
      <c r="C25822" s="8" t="n">
        <v>15</v>
      </c>
      <c r="D25822" s="8" t="inlineStr">
        <is>
          <t>Disneyland Park</t>
        </is>
      </c>
      <c r="E25822" s="8" t="inlineStr">
        <is>
          <t>Les Voyages de Pinocchio</t>
        </is>
      </c>
      <c r="F25822" s="8" t="inlineStr">
        <is>
          <t>STANDBY</t>
        </is>
      </c>
      <c r="G25822" s="8" t="n">
        <v>25</v>
      </c>
      <c r="H25822" s="8" t="inlineStr">
        <is>
          <t>OPERATING</t>
        </is>
      </c>
    </row>
    <row r="25823">
      <c r="A25823" s="8" t="inlineStr">
        <is>
          <t>2026-08-05</t>
        </is>
      </c>
      <c r="B25823" s="8" t="n">
        <v>17</v>
      </c>
      <c r="C25823" s="8" t="n">
        <v>15</v>
      </c>
      <c r="D25823" s="8" t="inlineStr">
        <is>
          <t>Disneyland Park</t>
        </is>
      </c>
      <c r="E25823" s="8" t="inlineStr">
        <is>
          <t>Mad Hatter's Tea Cups</t>
        </is>
      </c>
      <c r="F25823" s="8" t="inlineStr">
        <is>
          <t>STANDBY</t>
        </is>
      </c>
      <c r="G25823" s="8" t="n">
        <v>5</v>
      </c>
      <c r="H25823" s="8" t="inlineStr">
        <is>
          <t>OPERATING</t>
        </is>
      </c>
    </row>
    <row r="25824">
      <c r="A25824" s="8" t="inlineStr">
        <is>
          <t>2026-08-05</t>
        </is>
      </c>
      <c r="B25824" s="8" t="n">
        <v>17</v>
      </c>
      <c r="C25824" s="8" t="n">
        <v>15</v>
      </c>
      <c r="D25824" s="8" t="inlineStr">
        <is>
          <t>Disneyland Park</t>
        </is>
      </c>
      <c r="E25824" s="8" t="inlineStr">
        <is>
          <t>Meet Mickey Mouse</t>
        </is>
      </c>
      <c r="F25824" s="8" t="inlineStr">
        <is>
          <t>STANDBY</t>
        </is>
      </c>
      <c r="G25824" s="8" t="n">
        <v>0</v>
      </c>
      <c r="H25824" s="8" t="inlineStr">
        <is>
          <t>OPERATING</t>
        </is>
      </c>
    </row>
    <row r="25825">
      <c r="A25825" s="8" t="inlineStr">
        <is>
          <t>2026-08-05</t>
        </is>
      </c>
      <c r="B25825" s="8" t="n">
        <v>17</v>
      </c>
      <c r="C25825" s="8" t="n">
        <v>15</v>
      </c>
      <c r="D25825" s="8" t="inlineStr">
        <is>
          <t>Disneyland Park</t>
        </is>
      </c>
      <c r="E25825" s="8" t="inlineStr">
        <is>
          <t>Peter Pan's Flight</t>
        </is>
      </c>
      <c r="F25825" s="8" t="inlineStr">
        <is>
          <t>STANDBY</t>
        </is>
      </c>
      <c r="G25825" s="8" t="n">
        <v>60</v>
      </c>
      <c r="H25825" s="8" t="inlineStr">
        <is>
          <t>OPERATING</t>
        </is>
      </c>
    </row>
    <row r="25826">
      <c r="A25826" s="8" t="inlineStr">
        <is>
          <t>2026-08-05</t>
        </is>
      </c>
      <c r="B25826" s="8" t="n">
        <v>17</v>
      </c>
      <c r="C25826" s="8" t="n">
        <v>15</v>
      </c>
      <c r="D25826" s="8" t="inlineStr">
        <is>
          <t>Disneyland Park</t>
        </is>
      </c>
      <c r="E25826" s="8" t="inlineStr">
        <is>
          <t>Princess Pavilion</t>
        </is>
      </c>
      <c r="F25826" s="8" t="inlineStr">
        <is>
          <t>STANDBY</t>
        </is>
      </c>
      <c r="G25826" s="8" t="n">
        <v>0</v>
      </c>
      <c r="H25826" s="8" t="inlineStr">
        <is>
          <t>OPERATING</t>
        </is>
      </c>
    </row>
    <row r="25827">
      <c r="A25827" s="8" t="inlineStr">
        <is>
          <t>2026-08-05</t>
        </is>
      </c>
      <c r="B25827" s="8" t="n">
        <v>17</v>
      </c>
      <c r="C25827" s="8" t="n">
        <v>15</v>
      </c>
      <c r="D25827" s="8" t="inlineStr">
        <is>
          <t>Disneyland Park</t>
        </is>
      </c>
      <c r="E25827" s="8" t="inlineStr">
        <is>
          <t>Big Thunder Mountain</t>
        </is>
      </c>
      <c r="F25827" s="8" t="inlineStr">
        <is>
          <t>STANDBY</t>
        </is>
      </c>
      <c r="G25827" s="8" t="n">
        <v>100</v>
      </c>
      <c r="H25827" s="8" t="inlineStr">
        <is>
          <t>OPERATING</t>
        </is>
      </c>
    </row>
    <row r="25828">
      <c r="A25828" s="8" t="inlineStr">
        <is>
          <t>2026-08-05</t>
        </is>
      </c>
      <c r="B25828" s="8" t="n">
        <v>17</v>
      </c>
      <c r="C25828" s="8" t="n">
        <v>15</v>
      </c>
      <c r="D25828" s="8" t="inlineStr">
        <is>
          <t>Disneyland Park</t>
        </is>
      </c>
      <c r="E25828" s="8" t="inlineStr">
        <is>
          <t>Disneyland Railroad Frontierland Depot</t>
        </is>
      </c>
      <c r="F25828" s="8" t="inlineStr">
        <is>
          <t>STANDBY</t>
        </is>
      </c>
      <c r="G25828" s="8" t="n">
        <v>30</v>
      </c>
      <c r="H25828" s="8" t="inlineStr">
        <is>
          <t>OPERATING</t>
        </is>
      </c>
    </row>
    <row r="25829">
      <c r="A25829" s="8" t="inlineStr">
        <is>
          <t>2026-08-05</t>
        </is>
      </c>
      <c r="B25829" s="8" t="n">
        <v>17</v>
      </c>
      <c r="C25829" s="8" t="n">
        <v>15</v>
      </c>
      <c r="D25829" s="8" t="inlineStr">
        <is>
          <t>Disneyland Park</t>
        </is>
      </c>
      <c r="E25829" s="8" t="inlineStr">
        <is>
          <t>Frontierland Playground</t>
        </is>
      </c>
      <c r="F25829" s="8" t="inlineStr">
        <is>
          <t>STANDBY</t>
        </is>
      </c>
      <c r="G25829" s="8" t="n">
        <v>0</v>
      </c>
      <c r="H25829" s="8" t="inlineStr">
        <is>
          <t>OPERATING</t>
        </is>
      </c>
    </row>
    <row r="25830">
      <c r="A25830" s="8" t="inlineStr">
        <is>
          <t>2026-08-05</t>
        </is>
      </c>
      <c r="B25830" s="8" t="n">
        <v>17</v>
      </c>
      <c r="C25830" s="8" t="n">
        <v>15</v>
      </c>
      <c r="D25830" s="8" t="inlineStr">
        <is>
          <t>Disneyland Park</t>
        </is>
      </c>
      <c r="E25830" s="8" t="inlineStr">
        <is>
          <t>Phantom Manor</t>
        </is>
      </c>
      <c r="F25830" s="8" t="inlineStr">
        <is>
          <t>STANDBY</t>
        </is>
      </c>
      <c r="G25830" s="8" t="n">
        <v>20</v>
      </c>
      <c r="H25830" s="8" t="inlineStr">
        <is>
          <t>OPERATING</t>
        </is>
      </c>
    </row>
    <row r="25831">
      <c r="A25831" s="8" t="inlineStr">
        <is>
          <t>2026-08-05</t>
        </is>
      </c>
      <c r="B25831" s="8" t="n">
        <v>17</v>
      </c>
      <c r="C25831" s="8" t="n">
        <v>15</v>
      </c>
      <c r="D25831" s="8" t="inlineStr">
        <is>
          <t>Disneyland Park</t>
        </is>
      </c>
      <c r="E25831" s="8" t="inlineStr">
        <is>
          <t>River Rogue Keelboats</t>
        </is>
      </c>
      <c r="F25831" s="8" t="inlineStr">
        <is>
          <t>STANDBY</t>
        </is>
      </c>
      <c r="G25831" s="8" t="n">
        <v>0</v>
      </c>
      <c r="H25831" s="8" t="inlineStr">
        <is>
          <t>CLOSED</t>
        </is>
      </c>
    </row>
    <row r="25832">
      <c r="A25832" s="8" t="inlineStr">
        <is>
          <t>2026-08-05</t>
        </is>
      </c>
      <c r="B25832" s="8" t="n">
        <v>17</v>
      </c>
      <c r="C25832" s="8" t="n">
        <v>15</v>
      </c>
      <c r="D25832" s="8" t="inlineStr">
        <is>
          <t>Disneyland Park</t>
        </is>
      </c>
      <c r="E25832" s="8" t="inlineStr">
        <is>
          <t>Rustler Roundup Shootin' Gallery</t>
        </is>
      </c>
      <c r="F25832" s="8" t="inlineStr">
        <is>
          <t>STANDBY</t>
        </is>
      </c>
      <c r="G25832" s="8" t="n">
        <v>0</v>
      </c>
      <c r="H25832" s="8" t="inlineStr">
        <is>
          <t>OPERATING</t>
        </is>
      </c>
    </row>
    <row r="25833">
      <c r="A25833" s="8" t="inlineStr">
        <is>
          <t>2026-08-05</t>
        </is>
      </c>
      <c r="B25833" s="8" t="n">
        <v>17</v>
      </c>
      <c r="C25833" s="8" t="n">
        <v>15</v>
      </c>
      <c r="D25833" s="8" t="inlineStr">
        <is>
          <t>Disneyland Park</t>
        </is>
      </c>
      <c r="E25833" s="8" t="inlineStr">
        <is>
          <t>Thunder Mesa Riverboat Landing</t>
        </is>
      </c>
      <c r="F25833" s="8" t="inlineStr">
        <is>
          <t>STANDBY</t>
        </is>
      </c>
      <c r="G25833" s="8" t="n">
        <v>20</v>
      </c>
      <c r="H25833" s="8" t="inlineStr">
        <is>
          <t>OPERATING</t>
        </is>
      </c>
    </row>
    <row r="25834">
      <c r="A25834" s="8" t="inlineStr">
        <is>
          <t>2026-08-05</t>
        </is>
      </c>
      <c r="B25834" s="8" t="n">
        <v>17</v>
      </c>
      <c r="C25834" s="8" t="n">
        <v>15</v>
      </c>
      <c r="D25834" s="8" t="inlineStr">
        <is>
          <t>Disneyland Park</t>
        </is>
      </c>
      <c r="E25834" s="8" t="inlineStr">
        <is>
          <t>Disneyland Railroad Main Street Station</t>
        </is>
      </c>
      <c r="F25834" s="8" t="inlineStr">
        <is>
          <t>STANDBY</t>
        </is>
      </c>
      <c r="G25834" s="8" t="n">
        <v>0</v>
      </c>
      <c r="H25834" s="8" t="inlineStr">
        <is>
          <t>OPERATING</t>
        </is>
      </c>
    </row>
    <row r="25835">
      <c r="A25835" s="8" t="inlineStr">
        <is>
          <t>2026-08-05</t>
        </is>
      </c>
      <c r="B25835" s="8" t="n">
        <v>17</v>
      </c>
      <c r="C25835" s="8" t="n">
        <v>15</v>
      </c>
      <c r="D25835" s="8" t="inlineStr">
        <is>
          <t>Disneyland Park</t>
        </is>
      </c>
      <c r="E25835" s="8" t="inlineStr">
        <is>
          <t>Main Street Vehicles</t>
        </is>
      </c>
      <c r="F25835" s="8" t="inlineStr">
        <is>
          <t>STANDBY</t>
        </is>
      </c>
      <c r="G25835" s="8" t="n">
        <v>0</v>
      </c>
      <c r="H25835" s="8" t="inlineStr">
        <is>
          <t>CLOSED</t>
        </is>
      </c>
    </row>
    <row r="25836">
      <c r="A25836" s="8" t="inlineStr">
        <is>
          <t>2026-08-05</t>
        </is>
      </c>
      <c r="B25836" s="8" t="n">
        <v>17</v>
      </c>
      <c r="C25836" s="8" t="n">
        <v>15</v>
      </c>
      <c r="D25836" s="8" t="inlineStr">
        <is>
          <t>Disney Adventure World</t>
        </is>
      </c>
      <c r="E25836" s="8" t="inlineStr">
        <is>
          <t>Avengers Assemble: Flight Force</t>
        </is>
      </c>
      <c r="F25836" s="8" t="inlineStr">
        <is>
          <t>STANDBY</t>
        </is>
      </c>
      <c r="G25836" s="8" t="n">
        <v>25</v>
      </c>
      <c r="H25836" s="8" t="inlineStr">
        <is>
          <t>OPERATING</t>
        </is>
      </c>
    </row>
    <row r="25837">
      <c r="A25837" s="8" t="inlineStr">
        <is>
          <t>2026-08-05</t>
        </is>
      </c>
      <c r="B25837" s="8" t="n">
        <v>17</v>
      </c>
      <c r="C25837" s="8" t="n">
        <v>15</v>
      </c>
      <c r="D25837" s="8" t="inlineStr">
        <is>
          <t>Disney Adventure World</t>
        </is>
      </c>
      <c r="E25837" s="8" t="inlineStr">
        <is>
          <t>Avengers Assemble: Flight Force Single Rider</t>
        </is>
      </c>
      <c r="F25837" s="8" t="inlineStr">
        <is>
          <t>STANDBY</t>
        </is>
      </c>
      <c r="G25837" s="8" t="n">
        <v>20</v>
      </c>
      <c r="H25837" s="8" t="inlineStr">
        <is>
          <t>OPERATING</t>
        </is>
      </c>
    </row>
    <row r="25838">
      <c r="A25838" s="8" t="inlineStr">
        <is>
          <t>2026-08-05</t>
        </is>
      </c>
      <c r="B25838" s="8" t="n">
        <v>17</v>
      </c>
      <c r="C25838" s="8" t="n">
        <v>15</v>
      </c>
      <c r="D25838" s="8" t="inlineStr">
        <is>
          <t>Disney Adventure World</t>
        </is>
      </c>
      <c r="E25838" s="8" t="inlineStr">
        <is>
          <t>Spider-Man W.E.B. Adventure</t>
        </is>
      </c>
      <c r="F25838" s="8" t="inlineStr">
        <is>
          <t>STANDBY</t>
        </is>
      </c>
      <c r="G25838" s="8" t="n">
        <v>60</v>
      </c>
      <c r="H25838" s="8" t="inlineStr">
        <is>
          <t>OPERATING</t>
        </is>
      </c>
    </row>
    <row r="25839">
      <c r="A25839" s="8" t="inlineStr">
        <is>
          <t>2026-08-05</t>
        </is>
      </c>
      <c r="B25839" s="8" t="n">
        <v>17</v>
      </c>
      <c r="C25839" s="8" t="n">
        <v>15</v>
      </c>
      <c r="D25839" s="8" t="inlineStr">
        <is>
          <t>Disney Adventure World</t>
        </is>
      </c>
      <c r="E25839" s="8" t="inlineStr">
        <is>
          <t>Spider-Man W.E.B. Adventure Single Rider</t>
        </is>
      </c>
      <c r="F25839" s="8" t="inlineStr">
        <is>
          <t>STANDBY</t>
        </is>
      </c>
      <c r="G25839" s="8" t="n">
        <v>15</v>
      </c>
      <c r="H25839" s="8" t="inlineStr">
        <is>
          <t>OPERATING</t>
        </is>
      </c>
    </row>
    <row r="25840">
      <c r="A25840" s="8" t="inlineStr">
        <is>
          <t>2026-08-05</t>
        </is>
      </c>
      <c r="B25840" s="8" t="n">
        <v>17</v>
      </c>
      <c r="C25840" s="8" t="n">
        <v>15</v>
      </c>
      <c r="D25840" s="8" t="inlineStr">
        <is>
          <t>Disney Adventure World</t>
        </is>
      </c>
      <c r="E25840" s="8" t="inlineStr">
        <is>
          <t>The Twilight Zone Tower of Terror</t>
        </is>
      </c>
      <c r="F25840" s="8" t="inlineStr">
        <is>
          <t>STANDBY</t>
        </is>
      </c>
      <c r="G25840" s="8" t="n">
        <v>25</v>
      </c>
      <c r="H25840" s="8" t="inlineStr">
        <is>
          <t>OPERATING</t>
        </is>
      </c>
    </row>
    <row r="25841">
      <c r="A25841" s="8" t="inlineStr">
        <is>
          <t>2026-08-05</t>
        </is>
      </c>
      <c r="B25841" s="8" t="n">
        <v>17</v>
      </c>
      <c r="C25841" s="8" t="n">
        <v>15</v>
      </c>
      <c r="D25841" s="8" t="inlineStr">
        <is>
          <t>Disney Adventure World</t>
        </is>
      </c>
      <c r="E25841" s="8" t="inlineStr">
        <is>
          <t>Cars Quatre Roues Rallye</t>
        </is>
      </c>
      <c r="F25841" s="8" t="inlineStr">
        <is>
          <t>STANDBY</t>
        </is>
      </c>
      <c r="G25841" s="8" t="n">
        <v>15</v>
      </c>
      <c r="H25841" s="8" t="inlineStr">
        <is>
          <t>OPERATING</t>
        </is>
      </c>
    </row>
    <row r="25842">
      <c r="A25842" s="8" t="inlineStr">
        <is>
          <t>2026-08-05</t>
        </is>
      </c>
      <c r="B25842" s="8" t="n">
        <v>17</v>
      </c>
      <c r="C25842" s="8" t="n">
        <v>15</v>
      </c>
      <c r="D25842" s="8" t="inlineStr">
        <is>
          <t>Disney Adventure World</t>
        </is>
      </c>
      <c r="E25842" s="8" t="inlineStr">
        <is>
          <t>Cars ROAD TRIP</t>
        </is>
      </c>
      <c r="F25842" s="8" t="inlineStr">
        <is>
          <t>STANDBY</t>
        </is>
      </c>
      <c r="G25842" s="8" t="n">
        <v>20</v>
      </c>
      <c r="H25842" s="8" t="inlineStr">
        <is>
          <t>OPERATING</t>
        </is>
      </c>
    </row>
    <row r="25843">
      <c r="A25843" s="8" t="inlineStr">
        <is>
          <t>2026-08-05</t>
        </is>
      </c>
      <c r="B25843" s="8" t="n">
        <v>17</v>
      </c>
      <c r="C25843" s="8" t="n">
        <v>15</v>
      </c>
      <c r="D25843" s="8" t="inlineStr">
        <is>
          <t>Disney Adventure World</t>
        </is>
      </c>
      <c r="E25843" s="8" t="inlineStr">
        <is>
          <t>Crush's Coaster</t>
        </is>
      </c>
      <c r="F25843" s="8" t="inlineStr">
        <is>
          <t>STANDBY</t>
        </is>
      </c>
      <c r="G25843" s="8" t="n">
        <v>80</v>
      </c>
      <c r="H25843" s="8" t="inlineStr">
        <is>
          <t>OPERATING</t>
        </is>
      </c>
    </row>
    <row r="25844">
      <c r="A25844" s="8" t="inlineStr">
        <is>
          <t>2026-08-05</t>
        </is>
      </c>
      <c r="B25844" s="8" t="n">
        <v>17</v>
      </c>
      <c r="C25844" s="8" t="n">
        <v>15</v>
      </c>
      <c r="D25844" s="8" t="inlineStr">
        <is>
          <t>Disney Adventure World</t>
        </is>
      </c>
      <c r="E25844" s="8" t="inlineStr">
        <is>
          <t>Crush's Coaster Single Rider</t>
        </is>
      </c>
      <c r="F25844" s="8" t="inlineStr">
        <is>
          <t>STANDBY</t>
        </is>
      </c>
      <c r="G25844" s="8" t="n">
        <v>60</v>
      </c>
      <c r="H25844" s="8" t="inlineStr">
        <is>
          <t>OPERATING</t>
        </is>
      </c>
    </row>
    <row r="25845">
      <c r="A25845" s="8" t="inlineStr">
        <is>
          <t>2026-08-05</t>
        </is>
      </c>
      <c r="B25845" s="8" t="n">
        <v>17</v>
      </c>
      <c r="C25845" s="8" t="n">
        <v>15</v>
      </c>
      <c r="D25845" s="8" t="inlineStr">
        <is>
          <t>Disney Adventure World</t>
        </is>
      </c>
      <c r="E25845" s="8" t="inlineStr">
        <is>
          <t>Les Tapis Volants - Flying Carpets Over Agrabah®</t>
        </is>
      </c>
      <c r="F25845" s="8" t="inlineStr">
        <is>
          <t>STANDBY</t>
        </is>
      </c>
      <c r="G25845" s="8" t="n">
        <v>15</v>
      </c>
      <c r="H25845" s="8" t="inlineStr">
        <is>
          <t>OPERATING</t>
        </is>
      </c>
    </row>
    <row r="25846">
      <c r="A25846" s="8" t="inlineStr">
        <is>
          <t>2026-08-05</t>
        </is>
      </c>
      <c r="B25846" s="8" t="n">
        <v>17</v>
      </c>
      <c r="C25846" s="8" t="n">
        <v>15</v>
      </c>
      <c r="D25846" s="8" t="inlineStr">
        <is>
          <t>Disney Adventure World</t>
        </is>
      </c>
      <c r="E25846" s="8" t="inlineStr">
        <is>
          <t>Ratatouille : L’Aventure Totalement Toquée de Rémy​</t>
        </is>
      </c>
      <c r="F25846" s="8" t="inlineStr">
        <is>
          <t>STANDBY</t>
        </is>
      </c>
      <c r="G25846" s="8" t="n">
        <v>50</v>
      </c>
      <c r="H25846" s="8" t="inlineStr">
        <is>
          <t>OPERATING</t>
        </is>
      </c>
    </row>
    <row r="25847">
      <c r="A25847" s="8" t="inlineStr">
        <is>
          <t>2026-08-05</t>
        </is>
      </c>
      <c r="B25847" s="8" t="n">
        <v>17</v>
      </c>
      <c r="C25847" s="8" t="n">
        <v>15</v>
      </c>
      <c r="D25847" s="8" t="inlineStr">
        <is>
          <t>Disney Adventure World</t>
        </is>
      </c>
      <c r="E25847" s="8" t="inlineStr">
        <is>
          <t>Ratatouille: The Adventure Single Rider</t>
        </is>
      </c>
      <c r="F25847" s="8" t="inlineStr">
        <is>
          <t>STANDBY</t>
        </is>
      </c>
      <c r="G25847" s="8" t="n">
        <v>40</v>
      </c>
      <c r="H25847" s="8" t="inlineStr">
        <is>
          <t>OPERATING</t>
        </is>
      </c>
    </row>
    <row r="25848">
      <c r="A25848" s="8" t="inlineStr">
        <is>
          <t>2026-08-05</t>
        </is>
      </c>
      <c r="B25848" s="8" t="n">
        <v>17</v>
      </c>
      <c r="C25848" s="8" t="n">
        <v>15</v>
      </c>
      <c r="D25848" s="8" t="inlineStr">
        <is>
          <t>Disney Adventure World</t>
        </is>
      </c>
      <c r="E25848" s="8" t="inlineStr">
        <is>
          <t>RC Racer</t>
        </is>
      </c>
      <c r="F25848" s="8" t="inlineStr">
        <is>
          <t>STANDBY</t>
        </is>
      </c>
      <c r="G25848" s="8" t="n">
        <v>40</v>
      </c>
      <c r="H25848" s="8" t="inlineStr">
        <is>
          <t>OPERATING</t>
        </is>
      </c>
    </row>
    <row r="25849">
      <c r="A25849" s="8" t="inlineStr">
        <is>
          <t>2026-08-05</t>
        </is>
      </c>
      <c r="B25849" s="8" t="n">
        <v>17</v>
      </c>
      <c r="C25849" s="8" t="n">
        <v>15</v>
      </c>
      <c r="D25849" s="8" t="inlineStr">
        <is>
          <t>Disney Adventure World</t>
        </is>
      </c>
      <c r="E25849" s="8" t="inlineStr">
        <is>
          <t>RC Racer Single Rider</t>
        </is>
      </c>
      <c r="F25849" s="8" t="inlineStr">
        <is>
          <t>STANDBY</t>
        </is>
      </c>
      <c r="G25849" s="8" t="n">
        <v>35</v>
      </c>
      <c r="H25849" s="8" t="inlineStr">
        <is>
          <t>OPERATING</t>
        </is>
      </c>
    </row>
    <row r="25850">
      <c r="A25850" s="8" t="inlineStr">
        <is>
          <t>2026-08-05</t>
        </is>
      </c>
      <c r="B25850" s="8" t="n">
        <v>17</v>
      </c>
      <c r="C25850" s="8" t="n">
        <v>15</v>
      </c>
      <c r="D25850" s="8" t="inlineStr">
        <is>
          <t>Disney Adventure World</t>
        </is>
      </c>
      <c r="E25850" s="8" t="inlineStr">
        <is>
          <t>Slinky® Dog Zigzag Spin</t>
        </is>
      </c>
      <c r="F25850" s="8" t="inlineStr">
        <is>
          <t>STANDBY</t>
        </is>
      </c>
      <c r="G25850" s="8" t="n">
        <v>15</v>
      </c>
      <c r="H25850" s="8" t="inlineStr">
        <is>
          <t>OPERATING</t>
        </is>
      </c>
    </row>
    <row r="25851">
      <c r="A25851" s="8" t="inlineStr">
        <is>
          <t>2026-08-05</t>
        </is>
      </c>
      <c r="B25851" s="8" t="n">
        <v>17</v>
      </c>
      <c r="C25851" s="8" t="n">
        <v>15</v>
      </c>
      <c r="D25851" s="8" t="inlineStr">
        <is>
          <t>Disney Adventure World</t>
        </is>
      </c>
      <c r="E25851" s="8" t="inlineStr">
        <is>
          <t>Toy Soldiers Parachute Drop</t>
        </is>
      </c>
      <c r="F25851" s="8" t="inlineStr">
        <is>
          <t>STANDBY</t>
        </is>
      </c>
      <c r="G25851" s="8" t="n">
        <v>50</v>
      </c>
      <c r="H25851" s="8" t="inlineStr">
        <is>
          <t>OPERATING</t>
        </is>
      </c>
    </row>
    <row r="25852">
      <c r="A25852" s="8" t="inlineStr">
        <is>
          <t>2026-08-05</t>
        </is>
      </c>
      <c r="B25852" s="8" t="n">
        <v>17</v>
      </c>
      <c r="C25852" s="8" t="n">
        <v>15</v>
      </c>
      <c r="D25852" s="8" t="inlineStr">
        <is>
          <t>Disney Adventure World</t>
        </is>
      </c>
      <c r="E25852" s="8" t="inlineStr">
        <is>
          <t>Toy Soldiers Parachute Drop Single Rider</t>
        </is>
      </c>
      <c r="F25852" s="8" t="inlineStr">
        <is>
          <t>STANDBY</t>
        </is>
      </c>
      <c r="G25852" s="8" t="n">
        <v>35</v>
      </c>
      <c r="H25852" s="8" t="inlineStr">
        <is>
          <t>OPERATING</t>
        </is>
      </c>
    </row>
    <row r="25853">
      <c r="A25853" s="8" t="inlineStr">
        <is>
          <t>2026-08-05</t>
        </is>
      </c>
      <c r="B25853" s="8" t="n">
        <v>17</v>
      </c>
      <c r="C25853" s="8" t="n">
        <v>15</v>
      </c>
      <c r="D25853" s="8" t="inlineStr">
        <is>
          <t>Disney Adventure World</t>
        </is>
      </c>
      <c r="E25853" s="8" t="inlineStr">
        <is>
          <t>Entry to World of Frozen</t>
        </is>
      </c>
      <c r="F25853" s="8" t="inlineStr">
        <is>
          <t>STANDBY</t>
        </is>
      </c>
      <c r="G25853" s="8" t="n">
        <v>0</v>
      </c>
      <c r="H25853" s="8" t="inlineStr">
        <is>
          <t>OPERATING</t>
        </is>
      </c>
    </row>
    <row r="25854">
      <c r="A25854" s="8" t="inlineStr">
        <is>
          <t>2026-08-05</t>
        </is>
      </c>
      <c r="B25854" s="8" t="n">
        <v>17</v>
      </c>
      <c r="C25854" s="8" t="n">
        <v>15</v>
      </c>
      <c r="D25854" s="8" t="inlineStr">
        <is>
          <t>Disney Adventure World</t>
        </is>
      </c>
      <c r="E25854" s="8" t="inlineStr">
        <is>
          <t>Frozen Ever After</t>
        </is>
      </c>
      <c r="F25854" s="8" t="inlineStr">
        <is>
          <t>STANDBY</t>
        </is>
      </c>
      <c r="G25854" s="8" t="n">
        <v>0</v>
      </c>
      <c r="H25854" s="8" t="inlineStr">
        <is>
          <t>CLOSED</t>
        </is>
      </c>
    </row>
    <row r="25855">
      <c r="A25855" s="8" t="inlineStr">
        <is>
          <t>2026-08-05</t>
        </is>
      </c>
      <c r="B25855" s="8" t="n">
        <v>17</v>
      </c>
      <c r="C25855" s="8" t="n">
        <v>15</v>
      </c>
      <c r="D25855" s="8" t="inlineStr">
        <is>
          <t>Disney Adventure World</t>
        </is>
      </c>
      <c r="E25855" s="8" t="inlineStr">
        <is>
          <t>Raiponce Tangled Spin</t>
        </is>
      </c>
      <c r="F25855" s="8" t="inlineStr">
        <is>
          <t>STANDBY</t>
        </is>
      </c>
      <c r="G25855" s="8" t="n">
        <v>10</v>
      </c>
      <c r="H25855" s="8" t="inlineStr">
        <is>
          <t>OPERATING</t>
        </is>
      </c>
    </row>
    <row r="25856">
      <c r="A25856" s="8" t="inlineStr">
        <is>
          <t>2026-08-05</t>
        </is>
      </c>
      <c r="B25856" s="8" t="n">
        <v>17</v>
      </c>
      <c r="C25856" s="8" t="n">
        <v>24</v>
      </c>
      <c r="D25856" s="8" t="inlineStr">
        <is>
          <t>Disneyland Park</t>
        </is>
      </c>
      <c r="E25856" s="8" t="inlineStr">
        <is>
          <t>Adventure Isle</t>
        </is>
      </c>
      <c r="F25856" s="8" t="inlineStr">
        <is>
          <t>STANDBY</t>
        </is>
      </c>
      <c r="G25856" s="8" t="n">
        <v>0</v>
      </c>
      <c r="H25856" s="8" t="inlineStr">
        <is>
          <t>OPERATING</t>
        </is>
      </c>
    </row>
    <row r="25857">
      <c r="A25857" s="8" t="inlineStr">
        <is>
          <t>2026-08-05</t>
        </is>
      </c>
      <c r="B25857" s="8" t="n">
        <v>17</v>
      </c>
      <c r="C25857" s="8" t="n">
        <v>24</v>
      </c>
      <c r="D25857" s="8" t="inlineStr">
        <is>
          <t>Disneyland Park</t>
        </is>
      </c>
      <c r="E25857" s="8" t="inlineStr">
        <is>
          <t>Indiana Jones and the Temple of Peril Single Rider</t>
        </is>
      </c>
      <c r="F25857" s="8" t="inlineStr">
        <is>
          <t>STANDBY</t>
        </is>
      </c>
      <c r="G25857" s="8" t="n">
        <v>15</v>
      </c>
      <c r="H25857" s="8" t="inlineStr">
        <is>
          <t>OPERATING</t>
        </is>
      </c>
    </row>
    <row r="25858">
      <c r="A25858" s="8" t="inlineStr">
        <is>
          <t>2026-08-05</t>
        </is>
      </c>
      <c r="B25858" s="8" t="n">
        <v>17</v>
      </c>
      <c r="C25858" s="8" t="n">
        <v>24</v>
      </c>
      <c r="D25858" s="8" t="inlineStr">
        <is>
          <t>Disneyland Park</t>
        </is>
      </c>
      <c r="E25858" s="8" t="inlineStr">
        <is>
          <t>Indiana Jones™ and the Temple of Peril</t>
        </is>
      </c>
      <c r="F25858" s="8" t="inlineStr">
        <is>
          <t>STANDBY</t>
        </is>
      </c>
      <c r="G25858" s="8" t="n">
        <v>20</v>
      </c>
      <c r="H25858" s="8" t="inlineStr">
        <is>
          <t>OPERATING</t>
        </is>
      </c>
    </row>
    <row r="25859">
      <c r="A25859" s="8" t="inlineStr">
        <is>
          <t>2026-08-05</t>
        </is>
      </c>
      <c r="B25859" s="8" t="n">
        <v>17</v>
      </c>
      <c r="C25859" s="8" t="n">
        <v>24</v>
      </c>
      <c r="D25859" s="8" t="inlineStr">
        <is>
          <t>Disneyland Park</t>
        </is>
      </c>
      <c r="E25859" s="8" t="inlineStr">
        <is>
          <t>La Cabane des Robinson</t>
        </is>
      </c>
      <c r="F25859" s="8" t="inlineStr">
        <is>
          <t>STANDBY</t>
        </is>
      </c>
      <c r="G25859" s="8" t="n">
        <v>5</v>
      </c>
      <c r="H25859" s="8" t="inlineStr">
        <is>
          <t>OPERATING</t>
        </is>
      </c>
    </row>
    <row r="25860">
      <c r="A25860" s="8" t="inlineStr">
        <is>
          <t>2026-08-05</t>
        </is>
      </c>
      <c r="B25860" s="8" t="n">
        <v>17</v>
      </c>
      <c r="C25860" s="8" t="n">
        <v>24</v>
      </c>
      <c r="D25860" s="8" t="inlineStr">
        <is>
          <t>Disneyland Park</t>
        </is>
      </c>
      <c r="E25860" s="8" t="inlineStr">
        <is>
          <t>Le Passage Enchanté d'Aladdin</t>
        </is>
      </c>
      <c r="F25860" s="8" t="inlineStr">
        <is>
          <t>STANDBY</t>
        </is>
      </c>
      <c r="G25860" s="8" t="n">
        <v>0</v>
      </c>
      <c r="H25860" s="8" t="inlineStr">
        <is>
          <t>OPERATING</t>
        </is>
      </c>
    </row>
    <row r="25861">
      <c r="A25861" s="8" t="inlineStr">
        <is>
          <t>2026-08-05</t>
        </is>
      </c>
      <c r="B25861" s="8" t="n">
        <v>17</v>
      </c>
      <c r="C25861" s="8" t="n">
        <v>24</v>
      </c>
      <c r="D25861" s="8" t="inlineStr">
        <is>
          <t>Disneyland Park</t>
        </is>
      </c>
      <c r="E25861" s="8" t="inlineStr">
        <is>
          <t>Pirate Galleon</t>
        </is>
      </c>
      <c r="F25861" s="8" t="inlineStr">
        <is>
          <t>STANDBY</t>
        </is>
      </c>
      <c r="G25861" s="8" t="n">
        <v>0</v>
      </c>
      <c r="H25861" s="8" t="inlineStr">
        <is>
          <t>CLOSED</t>
        </is>
      </c>
    </row>
    <row r="25862">
      <c r="A25862" s="8" t="inlineStr">
        <is>
          <t>2026-08-05</t>
        </is>
      </c>
      <c r="B25862" s="8" t="n">
        <v>17</v>
      </c>
      <c r="C25862" s="8" t="n">
        <v>24</v>
      </c>
      <c r="D25862" s="8" t="inlineStr">
        <is>
          <t>Disneyland Park</t>
        </is>
      </c>
      <c r="E25862" s="8" t="inlineStr">
        <is>
          <t>Pirates of the Caribbean</t>
        </is>
      </c>
      <c r="F25862" s="8" t="inlineStr">
        <is>
          <t>STANDBY</t>
        </is>
      </c>
      <c r="G25862" s="8" t="n">
        <v>15</v>
      </c>
      <c r="H25862" s="8" t="inlineStr">
        <is>
          <t>OPERATING</t>
        </is>
      </c>
    </row>
    <row r="25863">
      <c r="A25863" s="8" t="inlineStr">
        <is>
          <t>2026-08-05</t>
        </is>
      </c>
      <c r="B25863" s="8" t="n">
        <v>17</v>
      </c>
      <c r="C25863" s="8" t="n">
        <v>24</v>
      </c>
      <c r="D25863" s="8" t="inlineStr">
        <is>
          <t>Disneyland Park</t>
        </is>
      </c>
      <c r="E25863" s="8" t="inlineStr">
        <is>
          <t>Pirates' Beach</t>
        </is>
      </c>
      <c r="F25863" s="8" t="inlineStr">
        <is>
          <t>STANDBY</t>
        </is>
      </c>
      <c r="G25863" s="8" t="n">
        <v>0</v>
      </c>
      <c r="H25863" s="8" t="inlineStr">
        <is>
          <t>OPERATING</t>
        </is>
      </c>
    </row>
    <row r="25864">
      <c r="A25864" s="8" t="inlineStr">
        <is>
          <t>2026-08-05</t>
        </is>
      </c>
      <c r="B25864" s="8" t="n">
        <v>17</v>
      </c>
      <c r="C25864" s="8" t="n">
        <v>24</v>
      </c>
      <c r="D25864" s="8" t="inlineStr">
        <is>
          <t>Disneyland Park</t>
        </is>
      </c>
      <c r="E25864" s="8" t="inlineStr">
        <is>
          <t>Autopia, presented by Avis</t>
        </is>
      </c>
      <c r="F25864" s="8" t="inlineStr">
        <is>
          <t>STANDBY</t>
        </is>
      </c>
      <c r="G25864" s="8" t="n">
        <v>40</v>
      </c>
      <c r="H25864" s="8" t="inlineStr">
        <is>
          <t>OPERATING</t>
        </is>
      </c>
    </row>
    <row r="25865">
      <c r="A25865" s="8" t="inlineStr">
        <is>
          <t>2026-08-05</t>
        </is>
      </c>
      <c r="B25865" s="8" t="n">
        <v>17</v>
      </c>
      <c r="C25865" s="8" t="n">
        <v>24</v>
      </c>
      <c r="D25865" s="8" t="inlineStr">
        <is>
          <t>Disneyland Park</t>
        </is>
      </c>
      <c r="E25865" s="8" t="inlineStr">
        <is>
          <t>Buzz Lightyear Laser Blast</t>
        </is>
      </c>
      <c r="F25865" s="8" t="inlineStr">
        <is>
          <t>STANDBY</t>
        </is>
      </c>
      <c r="G25865" s="8" t="n">
        <v>45</v>
      </c>
      <c r="H25865" s="8" t="inlineStr">
        <is>
          <t>OPERATING</t>
        </is>
      </c>
    </row>
    <row r="25866">
      <c r="A25866" s="8" t="inlineStr">
        <is>
          <t>2026-08-05</t>
        </is>
      </c>
      <c r="B25866" s="8" t="n">
        <v>17</v>
      </c>
      <c r="C25866" s="8" t="n">
        <v>24</v>
      </c>
      <c r="D25866" s="8" t="inlineStr">
        <is>
          <t>Disneyland Park</t>
        </is>
      </c>
      <c r="E25866" s="8" t="inlineStr">
        <is>
          <t>Disneyland Railroad Discoveryland Station</t>
        </is>
      </c>
      <c r="F25866" s="8" t="inlineStr">
        <is>
          <t>STANDBY</t>
        </is>
      </c>
      <c r="G25866" s="8" t="n">
        <v>0</v>
      </c>
      <c r="H25866" s="8" t="inlineStr">
        <is>
          <t>CLOSED</t>
        </is>
      </c>
    </row>
    <row r="25867">
      <c r="A25867" s="8" t="inlineStr">
        <is>
          <t>2026-08-05</t>
        </is>
      </c>
      <c r="B25867" s="8" t="n">
        <v>17</v>
      </c>
      <c r="C25867" s="8" t="n">
        <v>24</v>
      </c>
      <c r="D25867" s="8" t="inlineStr">
        <is>
          <t>Disneyland Park</t>
        </is>
      </c>
      <c r="E25867" s="8" t="inlineStr">
        <is>
          <t>Les Mystères du Nautilus</t>
        </is>
      </c>
      <c r="F25867" s="8" t="inlineStr">
        <is>
          <t>STANDBY</t>
        </is>
      </c>
      <c r="G25867" s="8" t="n">
        <v>5</v>
      </c>
      <c r="H25867" s="8" t="inlineStr">
        <is>
          <t>OPERATING</t>
        </is>
      </c>
    </row>
    <row r="25868">
      <c r="A25868" s="8" t="inlineStr">
        <is>
          <t>2026-08-05</t>
        </is>
      </c>
      <c r="B25868" s="8" t="n">
        <v>17</v>
      </c>
      <c r="C25868" s="8" t="n">
        <v>24</v>
      </c>
      <c r="D25868" s="8" t="inlineStr">
        <is>
          <t>Disneyland Park</t>
        </is>
      </c>
      <c r="E25868" s="8" t="inlineStr">
        <is>
          <t>Mickey’s PhilharMagic</t>
        </is>
      </c>
      <c r="F25868" s="8" t="inlineStr">
        <is>
          <t>STANDBY</t>
        </is>
      </c>
      <c r="G25868" s="8" t="n">
        <v>0</v>
      </c>
      <c r="H25868" s="8" t="inlineStr">
        <is>
          <t>OPERATING</t>
        </is>
      </c>
    </row>
    <row r="25869">
      <c r="A25869" s="8" t="inlineStr">
        <is>
          <t>2026-08-05</t>
        </is>
      </c>
      <c r="B25869" s="8" t="n">
        <v>17</v>
      </c>
      <c r="C25869" s="8" t="n">
        <v>24</v>
      </c>
      <c r="D25869" s="8" t="inlineStr">
        <is>
          <t>Disneyland Park</t>
        </is>
      </c>
      <c r="E25869" s="8" t="inlineStr">
        <is>
          <t>Orbitron®</t>
        </is>
      </c>
      <c r="F25869" s="8" t="inlineStr">
        <is>
          <t>STANDBY</t>
        </is>
      </c>
      <c r="G25869" s="8" t="n">
        <v>40</v>
      </c>
      <c r="H25869" s="8" t="inlineStr">
        <is>
          <t>OPERATING</t>
        </is>
      </c>
    </row>
    <row r="25870">
      <c r="A25870" s="8" t="inlineStr">
        <is>
          <t>2026-08-05</t>
        </is>
      </c>
      <c r="B25870" s="8" t="n">
        <v>17</v>
      </c>
      <c r="C25870" s="8" t="n">
        <v>24</v>
      </c>
      <c r="D25870" s="8" t="inlineStr">
        <is>
          <t>Disneyland Park</t>
        </is>
      </c>
      <c r="E25870" s="8" t="inlineStr">
        <is>
          <t>Star Tours: The Adventures Continue*</t>
        </is>
      </c>
      <c r="F25870" s="8" t="inlineStr">
        <is>
          <t>STANDBY</t>
        </is>
      </c>
      <c r="G25870" s="8" t="n">
        <v>10</v>
      </c>
      <c r="H25870" s="8" t="inlineStr">
        <is>
          <t>OPERATING</t>
        </is>
      </c>
    </row>
    <row r="25871">
      <c r="A25871" s="8" t="inlineStr">
        <is>
          <t>2026-08-05</t>
        </is>
      </c>
      <c r="B25871" s="8" t="n">
        <v>17</v>
      </c>
      <c r="C25871" s="8" t="n">
        <v>24</v>
      </c>
      <c r="D25871" s="8" t="inlineStr">
        <is>
          <t>Disneyland Park</t>
        </is>
      </c>
      <c r="E25871" s="8" t="inlineStr">
        <is>
          <t>Star Wars Hyperspace Mountain</t>
        </is>
      </c>
      <c r="F25871" s="8" t="inlineStr">
        <is>
          <t>STANDBY</t>
        </is>
      </c>
      <c r="G25871" s="8" t="n">
        <v>40</v>
      </c>
      <c r="H25871" s="8" t="inlineStr">
        <is>
          <t>OPERATING</t>
        </is>
      </c>
    </row>
    <row r="25872">
      <c r="A25872" s="8" t="inlineStr">
        <is>
          <t>2026-08-05</t>
        </is>
      </c>
      <c r="B25872" s="8" t="n">
        <v>17</v>
      </c>
      <c r="C25872" s="8" t="n">
        <v>24</v>
      </c>
      <c r="D25872" s="8" t="inlineStr">
        <is>
          <t>Disneyland Park</t>
        </is>
      </c>
      <c r="E25872" s="8" t="inlineStr">
        <is>
          <t>Star Wars Hyperspace Mountain Single Rider</t>
        </is>
      </c>
      <c r="F25872" s="8" t="inlineStr">
        <is>
          <t>STANDBY</t>
        </is>
      </c>
      <c r="G25872" s="8" t="n">
        <v>30</v>
      </c>
      <c r="H25872" s="8" t="inlineStr">
        <is>
          <t>OPERATING</t>
        </is>
      </c>
    </row>
    <row r="25873">
      <c r="A25873" s="8" t="inlineStr">
        <is>
          <t>2026-08-05</t>
        </is>
      </c>
      <c r="B25873" s="8" t="n">
        <v>17</v>
      </c>
      <c r="C25873" s="8" t="n">
        <v>24</v>
      </c>
      <c r="D25873" s="8" t="inlineStr">
        <is>
          <t>Disneyland Park</t>
        </is>
      </c>
      <c r="E25873" s="8" t="inlineStr">
        <is>
          <t>Welcome to Starport: A Star Wars Encounter</t>
        </is>
      </c>
      <c r="F25873" s="8" t="inlineStr">
        <is>
          <t>STANDBY</t>
        </is>
      </c>
      <c r="G25873" s="8" t="n">
        <v>0</v>
      </c>
      <c r="H25873" s="8" t="inlineStr">
        <is>
          <t>CLOSED</t>
        </is>
      </c>
    </row>
    <row r="25874">
      <c r="A25874" s="8" t="inlineStr">
        <is>
          <t>2026-08-05</t>
        </is>
      </c>
      <c r="B25874" s="8" t="n">
        <v>17</v>
      </c>
      <c r="C25874" s="8" t="n">
        <v>24</v>
      </c>
      <c r="D25874" s="8" t="inlineStr">
        <is>
          <t>Disneyland Park</t>
        </is>
      </c>
      <c r="E25874" s="8" t="inlineStr">
        <is>
          <t>"it's a small world"</t>
        </is>
      </c>
      <c r="F25874" s="8" t="inlineStr">
        <is>
          <t>STANDBY</t>
        </is>
      </c>
      <c r="G25874" s="8" t="n">
        <v>5</v>
      </c>
      <c r="H25874" s="8" t="inlineStr">
        <is>
          <t>OPERATING</t>
        </is>
      </c>
    </row>
    <row r="25875">
      <c r="A25875" s="8" t="inlineStr">
        <is>
          <t>2026-08-05</t>
        </is>
      </c>
      <c r="B25875" s="8" t="n">
        <v>17</v>
      </c>
      <c r="C25875" s="8" t="n">
        <v>24</v>
      </c>
      <c r="D25875" s="8" t="inlineStr">
        <is>
          <t>Disneyland Park</t>
        </is>
      </c>
      <c r="E25875" s="8" t="inlineStr">
        <is>
          <t>Alice's Curious Labyrinth</t>
        </is>
      </c>
      <c r="F25875" s="8" t="inlineStr">
        <is>
          <t>STANDBY</t>
        </is>
      </c>
      <c r="G25875" s="8" t="n">
        <v>5</v>
      </c>
      <c r="H25875" s="8" t="inlineStr">
        <is>
          <t>OPERATING</t>
        </is>
      </c>
    </row>
    <row r="25876">
      <c r="A25876" s="8" t="inlineStr">
        <is>
          <t>2026-08-05</t>
        </is>
      </c>
      <c r="B25876" s="8" t="n">
        <v>17</v>
      </c>
      <c r="C25876" s="8" t="n">
        <v>24</v>
      </c>
      <c r="D25876" s="8" t="inlineStr">
        <is>
          <t>Disneyland Park</t>
        </is>
      </c>
      <c r="E25876" s="8" t="inlineStr">
        <is>
          <t>Blanche-Neige et les Sept Nains®</t>
        </is>
      </c>
      <c r="F25876" s="8" t="inlineStr">
        <is>
          <t>STANDBY</t>
        </is>
      </c>
      <c r="G25876" s="8" t="n">
        <v>30</v>
      </c>
      <c r="H25876" s="8" t="inlineStr">
        <is>
          <t>OPERATING</t>
        </is>
      </c>
    </row>
    <row r="25877">
      <c r="A25877" s="8" t="inlineStr">
        <is>
          <t>2026-08-05</t>
        </is>
      </c>
      <c r="B25877" s="8" t="n">
        <v>17</v>
      </c>
      <c r="C25877" s="8" t="n">
        <v>24</v>
      </c>
      <c r="D25877" s="8" t="inlineStr">
        <is>
          <t>Disneyland Park</t>
        </is>
      </c>
      <c r="E25877" s="8" t="inlineStr">
        <is>
          <t>Casey Jr. – le Petit Train du Cirque</t>
        </is>
      </c>
      <c r="F25877" s="8" t="inlineStr">
        <is>
          <t>STANDBY</t>
        </is>
      </c>
      <c r="G25877" s="8" t="n">
        <v>20</v>
      </c>
      <c r="H25877" s="8" t="inlineStr">
        <is>
          <t>OPERATING</t>
        </is>
      </c>
    </row>
    <row r="25878">
      <c r="A25878" s="8" t="inlineStr">
        <is>
          <t>2026-08-05</t>
        </is>
      </c>
      <c r="B25878" s="8" t="n">
        <v>17</v>
      </c>
      <c r="C25878" s="8" t="n">
        <v>24</v>
      </c>
      <c r="D25878" s="8" t="inlineStr">
        <is>
          <t>Disneyland Park</t>
        </is>
      </c>
      <c r="E25878" s="8" t="inlineStr">
        <is>
          <t>Disneyland Railroad Fantasyland Station</t>
        </is>
      </c>
      <c r="F25878" s="8" t="inlineStr">
        <is>
          <t>STANDBY</t>
        </is>
      </c>
      <c r="G25878" s="8" t="n">
        <v>0</v>
      </c>
      <c r="H25878" s="8" t="inlineStr">
        <is>
          <t>CLOSED</t>
        </is>
      </c>
    </row>
    <row r="25879">
      <c r="A25879" s="8" t="inlineStr">
        <is>
          <t>2026-08-05</t>
        </is>
      </c>
      <c r="B25879" s="8" t="n">
        <v>17</v>
      </c>
      <c r="C25879" s="8" t="n">
        <v>24</v>
      </c>
      <c r="D25879" s="8" t="inlineStr">
        <is>
          <t>Disneyland Park</t>
        </is>
      </c>
      <c r="E25879" s="8" t="inlineStr">
        <is>
          <t>Disneyland Railroad Main Street Station</t>
        </is>
      </c>
      <c r="F25879" s="8" t="inlineStr">
        <is>
          <t>STANDBY</t>
        </is>
      </c>
      <c r="G25879" s="8" t="n">
        <v>20</v>
      </c>
      <c r="H25879" s="8" t="inlineStr">
        <is>
          <t>OPERATING</t>
        </is>
      </c>
    </row>
    <row r="25880">
      <c r="A25880" s="8" t="inlineStr">
        <is>
          <t>2026-08-05</t>
        </is>
      </c>
      <c r="B25880" s="8" t="n">
        <v>17</v>
      </c>
      <c r="C25880" s="8" t="n">
        <v>24</v>
      </c>
      <c r="D25880" s="8" t="inlineStr">
        <is>
          <t>Disneyland Park</t>
        </is>
      </c>
      <c r="E25880" s="8" t="inlineStr">
        <is>
          <t>Dumbo the Flying Elephant</t>
        </is>
      </c>
      <c r="F25880" s="8" t="inlineStr">
        <is>
          <t>STANDBY</t>
        </is>
      </c>
      <c r="G25880" s="8" t="n">
        <v>35</v>
      </c>
      <c r="H25880" s="8" t="inlineStr">
        <is>
          <t>OPERATING</t>
        </is>
      </c>
    </row>
    <row r="25881">
      <c r="A25881" s="8" t="inlineStr">
        <is>
          <t>2026-08-05</t>
        </is>
      </c>
      <c r="B25881" s="8" t="n">
        <v>17</v>
      </c>
      <c r="C25881" s="8" t="n">
        <v>24</v>
      </c>
      <c r="D25881" s="8" t="inlineStr">
        <is>
          <t>Disneyland Park</t>
        </is>
      </c>
      <c r="E25881" s="8" t="inlineStr">
        <is>
          <t>La Tanière du Dragon</t>
        </is>
      </c>
      <c r="F25881" s="8" t="inlineStr">
        <is>
          <t>STANDBY</t>
        </is>
      </c>
      <c r="G25881" s="8" t="n">
        <v>0</v>
      </c>
      <c r="H25881" s="8" t="inlineStr">
        <is>
          <t>OPERATING</t>
        </is>
      </c>
    </row>
    <row r="25882">
      <c r="A25882" s="8" t="inlineStr">
        <is>
          <t>2026-08-05</t>
        </is>
      </c>
      <c r="B25882" s="8" t="n">
        <v>17</v>
      </c>
      <c r="C25882" s="8" t="n">
        <v>24</v>
      </c>
      <c r="D25882" s="8" t="inlineStr">
        <is>
          <t>Disneyland Park</t>
        </is>
      </c>
      <c r="E25882" s="8" t="inlineStr">
        <is>
          <t>Le Carrousel de Lancelot</t>
        </is>
      </c>
      <c r="F25882" s="8" t="inlineStr">
        <is>
          <t>STANDBY</t>
        </is>
      </c>
      <c r="G25882" s="8" t="n">
        <v>15</v>
      </c>
      <c r="H25882" s="8" t="inlineStr">
        <is>
          <t>OPERATING</t>
        </is>
      </c>
    </row>
    <row r="25883">
      <c r="A25883" s="8" t="inlineStr">
        <is>
          <t>2026-08-05</t>
        </is>
      </c>
      <c r="B25883" s="8" t="n">
        <v>17</v>
      </c>
      <c r="C25883" s="8" t="n">
        <v>24</v>
      </c>
      <c r="D25883" s="8" t="inlineStr">
        <is>
          <t>Disneyland Park</t>
        </is>
      </c>
      <c r="E25883" s="8" t="inlineStr">
        <is>
          <t>Le Pays des Contes de Fées, presented by Vittel</t>
        </is>
      </c>
      <c r="F25883" s="8" t="inlineStr">
        <is>
          <t>STANDBY</t>
        </is>
      </c>
      <c r="G25883" s="8" t="n">
        <v>5</v>
      </c>
      <c r="H25883" s="8" t="inlineStr">
        <is>
          <t>OPERATING</t>
        </is>
      </c>
    </row>
    <row r="25884">
      <c r="A25884" s="8" t="inlineStr">
        <is>
          <t>2026-08-05</t>
        </is>
      </c>
      <c r="B25884" s="8" t="n">
        <v>17</v>
      </c>
      <c r="C25884" s="8" t="n">
        <v>24</v>
      </c>
      <c r="D25884" s="8" t="inlineStr">
        <is>
          <t>Disneyland Park</t>
        </is>
      </c>
      <c r="E25884" s="8" t="inlineStr">
        <is>
          <t>Les Voyages de Pinocchio</t>
        </is>
      </c>
      <c r="F25884" s="8" t="inlineStr">
        <is>
          <t>STANDBY</t>
        </is>
      </c>
      <c r="G25884" s="8" t="n">
        <v>25</v>
      </c>
      <c r="H25884" s="8" t="inlineStr">
        <is>
          <t>OPERATING</t>
        </is>
      </c>
    </row>
    <row r="25885">
      <c r="A25885" s="8" t="inlineStr">
        <is>
          <t>2026-08-05</t>
        </is>
      </c>
      <c r="B25885" s="8" t="n">
        <v>17</v>
      </c>
      <c r="C25885" s="8" t="n">
        <v>24</v>
      </c>
      <c r="D25885" s="8" t="inlineStr">
        <is>
          <t>Disneyland Park</t>
        </is>
      </c>
      <c r="E25885" s="8" t="inlineStr">
        <is>
          <t>Mad Hatter's Tea Cups</t>
        </is>
      </c>
      <c r="F25885" s="8" t="inlineStr">
        <is>
          <t>STANDBY</t>
        </is>
      </c>
      <c r="G25885" s="8" t="n">
        <v>5</v>
      </c>
      <c r="H25885" s="8" t="inlineStr">
        <is>
          <t>OPERATING</t>
        </is>
      </c>
    </row>
    <row r="25886">
      <c r="A25886" s="8" t="inlineStr">
        <is>
          <t>2026-08-05</t>
        </is>
      </c>
      <c r="B25886" s="8" t="n">
        <v>17</v>
      </c>
      <c r="C25886" s="8" t="n">
        <v>24</v>
      </c>
      <c r="D25886" s="8" t="inlineStr">
        <is>
          <t>Disneyland Park</t>
        </is>
      </c>
      <c r="E25886" s="8" t="inlineStr">
        <is>
          <t>Meet Mickey Mouse</t>
        </is>
      </c>
      <c r="F25886" s="8" t="inlineStr">
        <is>
          <t>STANDBY</t>
        </is>
      </c>
      <c r="G25886" s="8" t="n">
        <v>0</v>
      </c>
      <c r="H25886" s="8" t="inlineStr">
        <is>
          <t>OPERATING</t>
        </is>
      </c>
    </row>
    <row r="25887">
      <c r="A25887" s="8" t="inlineStr">
        <is>
          <t>2026-08-05</t>
        </is>
      </c>
      <c r="B25887" s="8" t="n">
        <v>17</v>
      </c>
      <c r="C25887" s="8" t="n">
        <v>24</v>
      </c>
      <c r="D25887" s="8" t="inlineStr">
        <is>
          <t>Disneyland Park</t>
        </is>
      </c>
      <c r="E25887" s="8" t="inlineStr">
        <is>
          <t>Peter Pan's Flight</t>
        </is>
      </c>
      <c r="F25887" s="8" t="inlineStr">
        <is>
          <t>STANDBY</t>
        </is>
      </c>
      <c r="G25887" s="8" t="n">
        <v>60</v>
      </c>
      <c r="H25887" s="8" t="inlineStr">
        <is>
          <t>OPERATING</t>
        </is>
      </c>
    </row>
    <row r="25888">
      <c r="A25888" s="8" t="inlineStr">
        <is>
          <t>2026-08-05</t>
        </is>
      </c>
      <c r="B25888" s="8" t="n">
        <v>17</v>
      </c>
      <c r="C25888" s="8" t="n">
        <v>24</v>
      </c>
      <c r="D25888" s="8" t="inlineStr">
        <is>
          <t>Disneyland Park</t>
        </is>
      </c>
      <c r="E25888" s="8" t="inlineStr">
        <is>
          <t>Princess Pavilion</t>
        </is>
      </c>
      <c r="F25888" s="8" t="inlineStr">
        <is>
          <t>STANDBY</t>
        </is>
      </c>
      <c r="G25888" s="8" t="n">
        <v>0</v>
      </c>
      <c r="H25888" s="8" t="inlineStr">
        <is>
          <t>OPERATING</t>
        </is>
      </c>
    </row>
    <row r="25889">
      <c r="A25889" s="8" t="inlineStr">
        <is>
          <t>2026-08-05</t>
        </is>
      </c>
      <c r="B25889" s="8" t="n">
        <v>17</v>
      </c>
      <c r="C25889" s="8" t="n">
        <v>24</v>
      </c>
      <c r="D25889" s="8" t="inlineStr">
        <is>
          <t>Disneyland Park</t>
        </is>
      </c>
      <c r="E25889" s="8" t="inlineStr">
        <is>
          <t>Big Thunder Mountain</t>
        </is>
      </c>
      <c r="F25889" s="8" t="inlineStr">
        <is>
          <t>STANDBY</t>
        </is>
      </c>
      <c r="G25889" s="8" t="n">
        <v>100</v>
      </c>
      <c r="H25889" s="8" t="inlineStr">
        <is>
          <t>OPERATING</t>
        </is>
      </c>
    </row>
    <row r="25890">
      <c r="A25890" s="8" t="inlineStr">
        <is>
          <t>2026-08-05</t>
        </is>
      </c>
      <c r="B25890" s="8" t="n">
        <v>17</v>
      </c>
      <c r="C25890" s="8" t="n">
        <v>24</v>
      </c>
      <c r="D25890" s="8" t="inlineStr">
        <is>
          <t>Disneyland Park</t>
        </is>
      </c>
      <c r="E25890" s="8" t="inlineStr">
        <is>
          <t>Disneyland Railroad Frontierland Depot</t>
        </is>
      </c>
      <c r="F25890" s="8" t="inlineStr">
        <is>
          <t>STANDBY</t>
        </is>
      </c>
      <c r="G25890" s="8" t="n">
        <v>30</v>
      </c>
      <c r="H25890" s="8" t="inlineStr">
        <is>
          <t>OPERATING</t>
        </is>
      </c>
    </row>
    <row r="25891">
      <c r="A25891" s="8" t="inlineStr">
        <is>
          <t>2026-08-05</t>
        </is>
      </c>
      <c r="B25891" s="8" t="n">
        <v>17</v>
      </c>
      <c r="C25891" s="8" t="n">
        <v>24</v>
      </c>
      <c r="D25891" s="8" t="inlineStr">
        <is>
          <t>Disneyland Park</t>
        </is>
      </c>
      <c r="E25891" s="8" t="inlineStr">
        <is>
          <t>Frontierland Playground</t>
        </is>
      </c>
      <c r="F25891" s="8" t="inlineStr">
        <is>
          <t>STANDBY</t>
        </is>
      </c>
      <c r="G25891" s="8" t="n">
        <v>0</v>
      </c>
      <c r="H25891" s="8" t="inlineStr">
        <is>
          <t>OPERATING</t>
        </is>
      </c>
    </row>
    <row r="25892">
      <c r="A25892" s="8" t="inlineStr">
        <is>
          <t>2026-08-05</t>
        </is>
      </c>
      <c r="B25892" s="8" t="n">
        <v>17</v>
      </c>
      <c r="C25892" s="8" t="n">
        <v>24</v>
      </c>
      <c r="D25892" s="8" t="inlineStr">
        <is>
          <t>Disneyland Park</t>
        </is>
      </c>
      <c r="E25892" s="8" t="inlineStr">
        <is>
          <t>Phantom Manor</t>
        </is>
      </c>
      <c r="F25892" s="8" t="inlineStr">
        <is>
          <t>STANDBY</t>
        </is>
      </c>
      <c r="G25892" s="8" t="n">
        <v>20</v>
      </c>
      <c r="H25892" s="8" t="inlineStr">
        <is>
          <t>OPERATING</t>
        </is>
      </c>
    </row>
    <row r="25893">
      <c r="A25893" s="8" t="inlineStr">
        <is>
          <t>2026-08-05</t>
        </is>
      </c>
      <c r="B25893" s="8" t="n">
        <v>17</v>
      </c>
      <c r="C25893" s="8" t="n">
        <v>24</v>
      </c>
      <c r="D25893" s="8" t="inlineStr">
        <is>
          <t>Disneyland Park</t>
        </is>
      </c>
      <c r="E25893" s="8" t="inlineStr">
        <is>
          <t>River Rogue Keelboats</t>
        </is>
      </c>
      <c r="F25893" s="8" t="inlineStr">
        <is>
          <t>STANDBY</t>
        </is>
      </c>
      <c r="G25893" s="8" t="n">
        <v>0</v>
      </c>
      <c r="H25893" s="8" t="inlineStr">
        <is>
          <t>CLOSED</t>
        </is>
      </c>
    </row>
    <row r="25894">
      <c r="A25894" s="8" t="inlineStr">
        <is>
          <t>2026-08-05</t>
        </is>
      </c>
      <c r="B25894" s="8" t="n">
        <v>17</v>
      </c>
      <c r="C25894" s="8" t="n">
        <v>24</v>
      </c>
      <c r="D25894" s="8" t="inlineStr">
        <is>
          <t>Disneyland Park</t>
        </is>
      </c>
      <c r="E25894" s="8" t="inlineStr">
        <is>
          <t>Rustler Roundup Shootin' Gallery</t>
        </is>
      </c>
      <c r="F25894" s="8" t="inlineStr">
        <is>
          <t>STANDBY</t>
        </is>
      </c>
      <c r="G25894" s="8" t="n">
        <v>0</v>
      </c>
      <c r="H25894" s="8" t="inlineStr">
        <is>
          <t>OPERATING</t>
        </is>
      </c>
    </row>
    <row r="25895">
      <c r="A25895" s="8" t="inlineStr">
        <is>
          <t>2026-08-05</t>
        </is>
      </c>
      <c r="B25895" s="8" t="n">
        <v>17</v>
      </c>
      <c r="C25895" s="8" t="n">
        <v>24</v>
      </c>
      <c r="D25895" s="8" t="inlineStr">
        <is>
          <t>Disneyland Park</t>
        </is>
      </c>
      <c r="E25895" s="8" t="inlineStr">
        <is>
          <t>Thunder Mesa Riverboat Landing</t>
        </is>
      </c>
      <c r="F25895" s="8" t="inlineStr">
        <is>
          <t>STANDBY</t>
        </is>
      </c>
      <c r="G25895" s="8" t="n">
        <v>20</v>
      </c>
      <c r="H25895" s="8" t="inlineStr">
        <is>
          <t>OPERATING</t>
        </is>
      </c>
    </row>
    <row r="25896">
      <c r="A25896" s="8" t="inlineStr">
        <is>
          <t>2026-08-05</t>
        </is>
      </c>
      <c r="B25896" s="8" t="n">
        <v>17</v>
      </c>
      <c r="C25896" s="8" t="n">
        <v>24</v>
      </c>
      <c r="D25896" s="8" t="inlineStr">
        <is>
          <t>Disneyland Park</t>
        </is>
      </c>
      <c r="E25896" s="8" t="inlineStr">
        <is>
          <t>Disneyland Railroad Main Street Station</t>
        </is>
      </c>
      <c r="F25896" s="8" t="inlineStr">
        <is>
          <t>STANDBY</t>
        </is>
      </c>
      <c r="G25896" s="8" t="n">
        <v>0</v>
      </c>
      <c r="H25896" s="8" t="inlineStr">
        <is>
          <t>OPERATING</t>
        </is>
      </c>
    </row>
    <row r="25897">
      <c r="A25897" s="8" t="inlineStr">
        <is>
          <t>2026-08-05</t>
        </is>
      </c>
      <c r="B25897" s="8" t="n">
        <v>17</v>
      </c>
      <c r="C25897" s="8" t="n">
        <v>24</v>
      </c>
      <c r="D25897" s="8" t="inlineStr">
        <is>
          <t>Disneyland Park</t>
        </is>
      </c>
      <c r="E25897" s="8" t="inlineStr">
        <is>
          <t>Main Street Vehicles</t>
        </is>
      </c>
      <c r="F25897" s="8" t="inlineStr">
        <is>
          <t>STANDBY</t>
        </is>
      </c>
      <c r="G25897" s="8" t="n">
        <v>0</v>
      </c>
      <c r="H25897" s="8" t="inlineStr">
        <is>
          <t>CLOSED</t>
        </is>
      </c>
    </row>
    <row r="25898">
      <c r="A25898" s="8" t="inlineStr">
        <is>
          <t>2026-08-05</t>
        </is>
      </c>
      <c r="B25898" s="8" t="n">
        <v>17</v>
      </c>
      <c r="C25898" s="8" t="n">
        <v>24</v>
      </c>
      <c r="D25898" s="8" t="inlineStr">
        <is>
          <t>Disney Adventure World</t>
        </is>
      </c>
      <c r="E25898" s="8" t="inlineStr">
        <is>
          <t>Avengers Assemble: Flight Force</t>
        </is>
      </c>
      <c r="F25898" s="8" t="inlineStr">
        <is>
          <t>STANDBY</t>
        </is>
      </c>
      <c r="G25898" s="8" t="n">
        <v>25</v>
      </c>
      <c r="H25898" s="8" t="inlineStr">
        <is>
          <t>OPERATING</t>
        </is>
      </c>
    </row>
    <row r="25899">
      <c r="A25899" s="8" t="inlineStr">
        <is>
          <t>2026-08-05</t>
        </is>
      </c>
      <c r="B25899" s="8" t="n">
        <v>17</v>
      </c>
      <c r="C25899" s="8" t="n">
        <v>24</v>
      </c>
      <c r="D25899" s="8" t="inlineStr">
        <is>
          <t>Disney Adventure World</t>
        </is>
      </c>
      <c r="E25899" s="8" t="inlineStr">
        <is>
          <t>Avengers Assemble: Flight Force Single Rider</t>
        </is>
      </c>
      <c r="F25899" s="8" t="inlineStr">
        <is>
          <t>STANDBY</t>
        </is>
      </c>
      <c r="G25899" s="8" t="n">
        <v>20</v>
      </c>
      <c r="H25899" s="8" t="inlineStr">
        <is>
          <t>OPERATING</t>
        </is>
      </c>
    </row>
    <row r="25900">
      <c r="A25900" s="8" t="inlineStr">
        <is>
          <t>2026-08-05</t>
        </is>
      </c>
      <c r="B25900" s="8" t="n">
        <v>17</v>
      </c>
      <c r="C25900" s="8" t="n">
        <v>24</v>
      </c>
      <c r="D25900" s="8" t="inlineStr">
        <is>
          <t>Disney Adventure World</t>
        </is>
      </c>
      <c r="E25900" s="8" t="inlineStr">
        <is>
          <t>Spider-Man W.E.B. Adventure</t>
        </is>
      </c>
      <c r="F25900" s="8" t="inlineStr">
        <is>
          <t>STANDBY</t>
        </is>
      </c>
      <c r="G25900" s="8" t="n">
        <v>60</v>
      </c>
      <c r="H25900" s="8" t="inlineStr">
        <is>
          <t>OPERATING</t>
        </is>
      </c>
    </row>
    <row r="25901">
      <c r="A25901" s="8" t="inlineStr">
        <is>
          <t>2026-08-05</t>
        </is>
      </c>
      <c r="B25901" s="8" t="n">
        <v>17</v>
      </c>
      <c r="C25901" s="8" t="n">
        <v>24</v>
      </c>
      <c r="D25901" s="8" t="inlineStr">
        <is>
          <t>Disney Adventure World</t>
        </is>
      </c>
      <c r="E25901" s="8" t="inlineStr">
        <is>
          <t>Spider-Man W.E.B. Adventure Single Rider</t>
        </is>
      </c>
      <c r="F25901" s="8" t="inlineStr">
        <is>
          <t>STANDBY</t>
        </is>
      </c>
      <c r="G25901" s="8" t="n">
        <v>15</v>
      </c>
      <c r="H25901" s="8" t="inlineStr">
        <is>
          <t>OPERATING</t>
        </is>
      </c>
    </row>
    <row r="25902">
      <c r="A25902" s="8" t="inlineStr">
        <is>
          <t>2026-08-05</t>
        </is>
      </c>
      <c r="B25902" s="8" t="n">
        <v>17</v>
      </c>
      <c r="C25902" s="8" t="n">
        <v>24</v>
      </c>
      <c r="D25902" s="8" t="inlineStr">
        <is>
          <t>Disney Adventure World</t>
        </is>
      </c>
      <c r="E25902" s="8" t="inlineStr">
        <is>
          <t>The Twilight Zone Tower of Terror</t>
        </is>
      </c>
      <c r="F25902" s="8" t="inlineStr">
        <is>
          <t>STANDBY</t>
        </is>
      </c>
      <c r="G25902" s="8" t="n">
        <v>25</v>
      </c>
      <c r="H25902" s="8" t="inlineStr">
        <is>
          <t>OPERATING</t>
        </is>
      </c>
    </row>
    <row r="25903">
      <c r="A25903" s="8" t="inlineStr">
        <is>
          <t>2026-08-05</t>
        </is>
      </c>
      <c r="B25903" s="8" t="n">
        <v>17</v>
      </c>
      <c r="C25903" s="8" t="n">
        <v>24</v>
      </c>
      <c r="D25903" s="8" t="inlineStr">
        <is>
          <t>Disney Adventure World</t>
        </is>
      </c>
      <c r="E25903" s="8" t="inlineStr">
        <is>
          <t>Cars Quatre Roues Rallye</t>
        </is>
      </c>
      <c r="F25903" s="8" t="inlineStr">
        <is>
          <t>STANDBY</t>
        </is>
      </c>
      <c r="G25903" s="8" t="n">
        <v>15</v>
      </c>
      <c r="H25903" s="8" t="inlineStr">
        <is>
          <t>OPERATING</t>
        </is>
      </c>
    </row>
    <row r="25904">
      <c r="A25904" s="8" t="inlineStr">
        <is>
          <t>2026-08-05</t>
        </is>
      </c>
      <c r="B25904" s="8" t="n">
        <v>17</v>
      </c>
      <c r="C25904" s="8" t="n">
        <v>24</v>
      </c>
      <c r="D25904" s="8" t="inlineStr">
        <is>
          <t>Disney Adventure World</t>
        </is>
      </c>
      <c r="E25904" s="8" t="inlineStr">
        <is>
          <t>Cars ROAD TRIP</t>
        </is>
      </c>
      <c r="F25904" s="8" t="inlineStr">
        <is>
          <t>STANDBY</t>
        </is>
      </c>
      <c r="G25904" s="8" t="n">
        <v>20</v>
      </c>
      <c r="H25904" s="8" t="inlineStr">
        <is>
          <t>OPERATING</t>
        </is>
      </c>
    </row>
    <row r="25905">
      <c r="A25905" s="8" t="inlineStr">
        <is>
          <t>2026-08-05</t>
        </is>
      </c>
      <c r="B25905" s="8" t="n">
        <v>17</v>
      </c>
      <c r="C25905" s="8" t="n">
        <v>24</v>
      </c>
      <c r="D25905" s="8" t="inlineStr">
        <is>
          <t>Disney Adventure World</t>
        </is>
      </c>
      <c r="E25905" s="8" t="inlineStr">
        <is>
          <t>Crush's Coaster</t>
        </is>
      </c>
      <c r="F25905" s="8" t="inlineStr">
        <is>
          <t>STANDBY</t>
        </is>
      </c>
      <c r="G25905" s="8" t="n">
        <v>85</v>
      </c>
      <c r="H25905" s="8" t="inlineStr">
        <is>
          <t>OPERATING</t>
        </is>
      </c>
    </row>
    <row r="25906">
      <c r="A25906" s="8" t="inlineStr">
        <is>
          <t>2026-08-05</t>
        </is>
      </c>
      <c r="B25906" s="8" t="n">
        <v>17</v>
      </c>
      <c r="C25906" s="8" t="n">
        <v>24</v>
      </c>
      <c r="D25906" s="8" t="inlineStr">
        <is>
          <t>Disney Adventure World</t>
        </is>
      </c>
      <c r="E25906" s="8" t="inlineStr">
        <is>
          <t>Crush's Coaster Single Rider</t>
        </is>
      </c>
      <c r="F25906" s="8" t="inlineStr">
        <is>
          <t>STANDBY</t>
        </is>
      </c>
      <c r="G25906" s="8" t="n">
        <v>60</v>
      </c>
      <c r="H25906" s="8" t="inlineStr">
        <is>
          <t>OPERATING</t>
        </is>
      </c>
    </row>
    <row r="25907">
      <c r="A25907" s="8" t="inlineStr">
        <is>
          <t>2026-08-05</t>
        </is>
      </c>
      <c r="B25907" s="8" t="n">
        <v>17</v>
      </c>
      <c r="C25907" s="8" t="n">
        <v>24</v>
      </c>
      <c r="D25907" s="8" t="inlineStr">
        <is>
          <t>Disney Adventure World</t>
        </is>
      </c>
      <c r="E25907" s="8" t="inlineStr">
        <is>
          <t>Les Tapis Volants - Flying Carpets Over Agrabah®</t>
        </is>
      </c>
      <c r="F25907" s="8" t="inlineStr">
        <is>
          <t>STANDBY</t>
        </is>
      </c>
      <c r="G25907" s="8" t="n">
        <v>15</v>
      </c>
      <c r="H25907" s="8" t="inlineStr">
        <is>
          <t>OPERATING</t>
        </is>
      </c>
    </row>
    <row r="25908">
      <c r="A25908" s="8" t="inlineStr">
        <is>
          <t>2026-08-05</t>
        </is>
      </c>
      <c r="B25908" s="8" t="n">
        <v>17</v>
      </c>
      <c r="C25908" s="8" t="n">
        <v>24</v>
      </c>
      <c r="D25908" s="8" t="inlineStr">
        <is>
          <t>Disney Adventure World</t>
        </is>
      </c>
      <c r="E25908" s="8" t="inlineStr">
        <is>
          <t>Ratatouille : L’Aventure Totalement Toquée de Rémy​</t>
        </is>
      </c>
      <c r="F25908" s="8" t="inlineStr">
        <is>
          <t>STANDBY</t>
        </is>
      </c>
      <c r="G25908" s="8" t="n">
        <v>50</v>
      </c>
      <c r="H25908" s="8" t="inlineStr">
        <is>
          <t>OPERATING</t>
        </is>
      </c>
    </row>
    <row r="25909">
      <c r="A25909" s="8" t="inlineStr">
        <is>
          <t>2026-08-05</t>
        </is>
      </c>
      <c r="B25909" s="8" t="n">
        <v>17</v>
      </c>
      <c r="C25909" s="8" t="n">
        <v>24</v>
      </c>
      <c r="D25909" s="8" t="inlineStr">
        <is>
          <t>Disney Adventure World</t>
        </is>
      </c>
      <c r="E25909" s="8" t="inlineStr">
        <is>
          <t>Ratatouille: The Adventure Single Rider</t>
        </is>
      </c>
      <c r="F25909" s="8" t="inlineStr">
        <is>
          <t>STANDBY</t>
        </is>
      </c>
      <c r="G25909" s="8" t="n">
        <v>20</v>
      </c>
      <c r="H25909" s="8" t="inlineStr">
        <is>
          <t>OPERATING</t>
        </is>
      </c>
    </row>
    <row r="25910">
      <c r="A25910" s="8" t="inlineStr">
        <is>
          <t>2026-08-05</t>
        </is>
      </c>
      <c r="B25910" s="8" t="n">
        <v>17</v>
      </c>
      <c r="C25910" s="8" t="n">
        <v>24</v>
      </c>
      <c r="D25910" s="8" t="inlineStr">
        <is>
          <t>Disney Adventure World</t>
        </is>
      </c>
      <c r="E25910" s="8" t="inlineStr">
        <is>
          <t>RC Racer</t>
        </is>
      </c>
      <c r="F25910" s="8" t="inlineStr">
        <is>
          <t>STANDBY</t>
        </is>
      </c>
      <c r="G25910" s="8" t="n">
        <v>40</v>
      </c>
      <c r="H25910" s="8" t="inlineStr">
        <is>
          <t>OPERATING</t>
        </is>
      </c>
    </row>
    <row r="25911">
      <c r="A25911" s="8" t="inlineStr">
        <is>
          <t>2026-08-05</t>
        </is>
      </c>
      <c r="B25911" s="8" t="n">
        <v>17</v>
      </c>
      <c r="C25911" s="8" t="n">
        <v>24</v>
      </c>
      <c r="D25911" s="8" t="inlineStr">
        <is>
          <t>Disney Adventure World</t>
        </is>
      </c>
      <c r="E25911" s="8" t="inlineStr">
        <is>
          <t>RC Racer Single Rider</t>
        </is>
      </c>
      <c r="F25911" s="8" t="inlineStr">
        <is>
          <t>STANDBY</t>
        </is>
      </c>
      <c r="G25911" s="8" t="n">
        <v>35</v>
      </c>
      <c r="H25911" s="8" t="inlineStr">
        <is>
          <t>OPERATING</t>
        </is>
      </c>
    </row>
    <row r="25912">
      <c r="A25912" s="8" t="inlineStr">
        <is>
          <t>2026-08-05</t>
        </is>
      </c>
      <c r="B25912" s="8" t="n">
        <v>17</v>
      </c>
      <c r="C25912" s="8" t="n">
        <v>24</v>
      </c>
      <c r="D25912" s="8" t="inlineStr">
        <is>
          <t>Disney Adventure World</t>
        </is>
      </c>
      <c r="E25912" s="8" t="inlineStr">
        <is>
          <t>Slinky® Dog Zigzag Spin</t>
        </is>
      </c>
      <c r="F25912" s="8" t="inlineStr">
        <is>
          <t>STANDBY</t>
        </is>
      </c>
      <c r="G25912" s="8" t="n">
        <v>15</v>
      </c>
      <c r="H25912" s="8" t="inlineStr">
        <is>
          <t>OPERATING</t>
        </is>
      </c>
    </row>
    <row r="25913">
      <c r="A25913" s="8" t="inlineStr">
        <is>
          <t>2026-08-05</t>
        </is>
      </c>
      <c r="B25913" s="8" t="n">
        <v>17</v>
      </c>
      <c r="C25913" s="8" t="n">
        <v>24</v>
      </c>
      <c r="D25913" s="8" t="inlineStr">
        <is>
          <t>Disney Adventure World</t>
        </is>
      </c>
      <c r="E25913" s="8" t="inlineStr">
        <is>
          <t>Toy Soldiers Parachute Drop</t>
        </is>
      </c>
      <c r="F25913" s="8" t="inlineStr">
        <is>
          <t>STANDBY</t>
        </is>
      </c>
      <c r="G25913" s="8" t="n">
        <v>50</v>
      </c>
      <c r="H25913" s="8" t="inlineStr">
        <is>
          <t>OPERATING</t>
        </is>
      </c>
    </row>
    <row r="25914">
      <c r="A25914" s="8" t="inlineStr">
        <is>
          <t>2026-08-05</t>
        </is>
      </c>
      <c r="B25914" s="8" t="n">
        <v>17</v>
      </c>
      <c r="C25914" s="8" t="n">
        <v>24</v>
      </c>
      <c r="D25914" s="8" t="inlineStr">
        <is>
          <t>Disney Adventure World</t>
        </is>
      </c>
      <c r="E25914" s="8" t="inlineStr">
        <is>
          <t>Toy Soldiers Parachute Drop Single Rider</t>
        </is>
      </c>
      <c r="F25914" s="8" t="inlineStr">
        <is>
          <t>STANDBY</t>
        </is>
      </c>
      <c r="G25914" s="8" t="n">
        <v>35</v>
      </c>
      <c r="H25914" s="8" t="inlineStr">
        <is>
          <t>OPERATING</t>
        </is>
      </c>
    </row>
    <row r="25915">
      <c r="A25915" s="8" t="inlineStr">
        <is>
          <t>2026-08-05</t>
        </is>
      </c>
      <c r="B25915" s="8" t="n">
        <v>17</v>
      </c>
      <c r="C25915" s="8" t="n">
        <v>24</v>
      </c>
      <c r="D25915" s="8" t="inlineStr">
        <is>
          <t>Disney Adventure World</t>
        </is>
      </c>
      <c r="E25915" s="8" t="inlineStr">
        <is>
          <t>Entry to World of Frozen</t>
        </is>
      </c>
      <c r="F25915" s="8" t="inlineStr">
        <is>
          <t>STANDBY</t>
        </is>
      </c>
      <c r="G25915" s="8" t="n">
        <v>0</v>
      </c>
      <c r="H25915" s="8" t="inlineStr">
        <is>
          <t>OPERATING</t>
        </is>
      </c>
    </row>
    <row r="25916">
      <c r="A25916" s="8" t="inlineStr">
        <is>
          <t>2026-08-05</t>
        </is>
      </c>
      <c r="B25916" s="8" t="n">
        <v>17</v>
      </c>
      <c r="C25916" s="8" t="n">
        <v>24</v>
      </c>
      <c r="D25916" s="8" t="inlineStr">
        <is>
          <t>Disney Adventure World</t>
        </is>
      </c>
      <c r="E25916" s="8" t="inlineStr">
        <is>
          <t>Frozen Ever After</t>
        </is>
      </c>
      <c r="F25916" s="8" t="inlineStr">
        <is>
          <t>STANDBY</t>
        </is>
      </c>
      <c r="G25916" s="8" t="n">
        <v>0</v>
      </c>
      <c r="H25916" s="8" t="inlineStr">
        <is>
          <t>CLOSED</t>
        </is>
      </c>
    </row>
    <row r="25917">
      <c r="A25917" s="8" t="inlineStr">
        <is>
          <t>2026-08-05</t>
        </is>
      </c>
      <c r="B25917" s="8" t="n">
        <v>17</v>
      </c>
      <c r="C25917" s="8" t="n">
        <v>24</v>
      </c>
      <c r="D25917" s="8" t="inlineStr">
        <is>
          <t>Disney Adventure World</t>
        </is>
      </c>
      <c r="E25917" s="8" t="inlineStr">
        <is>
          <t>Raiponce Tangled Spin</t>
        </is>
      </c>
      <c r="F25917" s="8" t="inlineStr">
        <is>
          <t>STANDBY</t>
        </is>
      </c>
      <c r="G25917" s="8" t="n">
        <v>10</v>
      </c>
      <c r="H25917" s="8" t="inlineStr">
        <is>
          <t>OPERATING</t>
        </is>
      </c>
    </row>
    <row r="25918">
      <c r="A25918" s="8" t="inlineStr">
        <is>
          <t>2026-08-05</t>
        </is>
      </c>
      <c r="B25918" s="8" t="n">
        <v>17</v>
      </c>
      <c r="C25918" s="8" t="n">
        <v>31</v>
      </c>
      <c r="D25918" s="8" t="inlineStr">
        <is>
          <t>Disneyland Park</t>
        </is>
      </c>
      <c r="E25918" s="8" t="inlineStr">
        <is>
          <t>Adventure Isle</t>
        </is>
      </c>
      <c r="F25918" s="8" t="inlineStr">
        <is>
          <t>STANDBY</t>
        </is>
      </c>
      <c r="G25918" s="8" t="n">
        <v>0</v>
      </c>
      <c r="H25918" s="8" t="inlineStr">
        <is>
          <t>OPERATING</t>
        </is>
      </c>
    </row>
    <row r="25919">
      <c r="A25919" s="8" t="inlineStr">
        <is>
          <t>2026-08-05</t>
        </is>
      </c>
      <c r="B25919" s="8" t="n">
        <v>17</v>
      </c>
      <c r="C25919" s="8" t="n">
        <v>31</v>
      </c>
      <c r="D25919" s="8" t="inlineStr">
        <is>
          <t>Disneyland Park</t>
        </is>
      </c>
      <c r="E25919" s="8" t="inlineStr">
        <is>
          <t>Indiana Jones and the Temple of Peril Single Rider</t>
        </is>
      </c>
      <c r="F25919" s="8" t="inlineStr">
        <is>
          <t>STANDBY</t>
        </is>
      </c>
      <c r="G25919" s="8" t="n">
        <v>10</v>
      </c>
      <c r="H25919" s="8" t="inlineStr">
        <is>
          <t>OPERATING</t>
        </is>
      </c>
    </row>
    <row r="25920">
      <c r="A25920" s="8" t="inlineStr">
        <is>
          <t>2026-08-05</t>
        </is>
      </c>
      <c r="B25920" s="8" t="n">
        <v>17</v>
      </c>
      <c r="C25920" s="8" t="n">
        <v>31</v>
      </c>
      <c r="D25920" s="8" t="inlineStr">
        <is>
          <t>Disneyland Park</t>
        </is>
      </c>
      <c r="E25920" s="8" t="inlineStr">
        <is>
          <t>Indiana Jones™ and the Temple of Peril</t>
        </is>
      </c>
      <c r="F25920" s="8" t="inlineStr">
        <is>
          <t>STANDBY</t>
        </is>
      </c>
      <c r="G25920" s="8" t="n">
        <v>20</v>
      </c>
      <c r="H25920" s="8" t="inlineStr">
        <is>
          <t>OPERATING</t>
        </is>
      </c>
    </row>
    <row r="25921">
      <c r="A25921" s="8" t="inlineStr">
        <is>
          <t>2026-08-05</t>
        </is>
      </c>
      <c r="B25921" s="8" t="n">
        <v>17</v>
      </c>
      <c r="C25921" s="8" t="n">
        <v>31</v>
      </c>
      <c r="D25921" s="8" t="inlineStr">
        <is>
          <t>Disneyland Park</t>
        </is>
      </c>
      <c r="E25921" s="8" t="inlineStr">
        <is>
          <t>La Cabane des Robinson</t>
        </is>
      </c>
      <c r="F25921" s="8" t="inlineStr">
        <is>
          <t>STANDBY</t>
        </is>
      </c>
      <c r="G25921" s="8" t="n">
        <v>5</v>
      </c>
      <c r="H25921" s="8" t="inlineStr">
        <is>
          <t>OPERATING</t>
        </is>
      </c>
    </row>
    <row r="25922">
      <c r="A25922" s="8" t="inlineStr">
        <is>
          <t>2026-08-05</t>
        </is>
      </c>
      <c r="B25922" s="8" t="n">
        <v>17</v>
      </c>
      <c r="C25922" s="8" t="n">
        <v>31</v>
      </c>
      <c r="D25922" s="8" t="inlineStr">
        <is>
          <t>Disneyland Park</t>
        </is>
      </c>
      <c r="E25922" s="8" t="inlineStr">
        <is>
          <t>Le Passage Enchanté d'Aladdin</t>
        </is>
      </c>
      <c r="F25922" s="8" t="inlineStr">
        <is>
          <t>STANDBY</t>
        </is>
      </c>
      <c r="G25922" s="8" t="n">
        <v>0</v>
      </c>
      <c r="H25922" s="8" t="inlineStr">
        <is>
          <t>OPERATING</t>
        </is>
      </c>
    </row>
    <row r="25923">
      <c r="A25923" s="8" t="inlineStr">
        <is>
          <t>2026-08-05</t>
        </is>
      </c>
      <c r="B25923" s="8" t="n">
        <v>17</v>
      </c>
      <c r="C25923" s="8" t="n">
        <v>31</v>
      </c>
      <c r="D25923" s="8" t="inlineStr">
        <is>
          <t>Disneyland Park</t>
        </is>
      </c>
      <c r="E25923" s="8" t="inlineStr">
        <is>
          <t>Pirate Galleon</t>
        </is>
      </c>
      <c r="F25923" s="8" t="inlineStr">
        <is>
          <t>STANDBY</t>
        </is>
      </c>
      <c r="G25923" s="8" t="n">
        <v>0</v>
      </c>
      <c r="H25923" s="8" t="inlineStr">
        <is>
          <t>CLOSED</t>
        </is>
      </c>
    </row>
    <row r="25924">
      <c r="A25924" s="8" t="inlineStr">
        <is>
          <t>2026-08-05</t>
        </is>
      </c>
      <c r="B25924" s="8" t="n">
        <v>17</v>
      </c>
      <c r="C25924" s="8" t="n">
        <v>31</v>
      </c>
      <c r="D25924" s="8" t="inlineStr">
        <is>
          <t>Disneyland Park</t>
        </is>
      </c>
      <c r="E25924" s="8" t="inlineStr">
        <is>
          <t>Pirates of the Caribbean</t>
        </is>
      </c>
      <c r="F25924" s="8" t="inlineStr">
        <is>
          <t>STANDBY</t>
        </is>
      </c>
      <c r="G25924" s="8" t="n">
        <v>15</v>
      </c>
      <c r="H25924" s="8" t="inlineStr">
        <is>
          <t>OPERATING</t>
        </is>
      </c>
    </row>
    <row r="25925">
      <c r="A25925" s="8" t="inlineStr">
        <is>
          <t>2026-08-05</t>
        </is>
      </c>
      <c r="B25925" s="8" t="n">
        <v>17</v>
      </c>
      <c r="C25925" s="8" t="n">
        <v>31</v>
      </c>
      <c r="D25925" s="8" t="inlineStr">
        <is>
          <t>Disneyland Park</t>
        </is>
      </c>
      <c r="E25925" s="8" t="inlineStr">
        <is>
          <t>Pirates' Beach</t>
        </is>
      </c>
      <c r="F25925" s="8" t="inlineStr">
        <is>
          <t>STANDBY</t>
        </is>
      </c>
      <c r="G25925" s="8" t="n">
        <v>0</v>
      </c>
      <c r="H25925" s="8" t="inlineStr">
        <is>
          <t>OPERATING</t>
        </is>
      </c>
    </row>
    <row r="25926">
      <c r="A25926" s="8" t="inlineStr">
        <is>
          <t>2026-08-05</t>
        </is>
      </c>
      <c r="B25926" s="8" t="n">
        <v>17</v>
      </c>
      <c r="C25926" s="8" t="n">
        <v>31</v>
      </c>
      <c r="D25926" s="8" t="inlineStr">
        <is>
          <t>Disneyland Park</t>
        </is>
      </c>
      <c r="E25926" s="8" t="inlineStr">
        <is>
          <t>Autopia, presented by Avis</t>
        </is>
      </c>
      <c r="F25926" s="8" t="inlineStr">
        <is>
          <t>STANDBY</t>
        </is>
      </c>
      <c r="G25926" s="8" t="n">
        <v>45</v>
      </c>
      <c r="H25926" s="8" t="inlineStr">
        <is>
          <t>OPERATING</t>
        </is>
      </c>
    </row>
    <row r="25927">
      <c r="A25927" s="8" t="inlineStr">
        <is>
          <t>2026-08-05</t>
        </is>
      </c>
      <c r="B25927" s="8" t="n">
        <v>17</v>
      </c>
      <c r="C25927" s="8" t="n">
        <v>31</v>
      </c>
      <c r="D25927" s="8" t="inlineStr">
        <is>
          <t>Disneyland Park</t>
        </is>
      </c>
      <c r="E25927" s="8" t="inlineStr">
        <is>
          <t>Buzz Lightyear Laser Blast</t>
        </is>
      </c>
      <c r="F25927" s="8" t="inlineStr">
        <is>
          <t>STANDBY</t>
        </is>
      </c>
      <c r="G25927" s="8" t="n">
        <v>45</v>
      </c>
      <c r="H25927" s="8" t="inlineStr">
        <is>
          <t>OPERATING</t>
        </is>
      </c>
    </row>
    <row r="25928">
      <c r="A25928" s="8" t="inlineStr">
        <is>
          <t>2026-08-05</t>
        </is>
      </c>
      <c r="B25928" s="8" t="n">
        <v>17</v>
      </c>
      <c r="C25928" s="8" t="n">
        <v>31</v>
      </c>
      <c r="D25928" s="8" t="inlineStr">
        <is>
          <t>Disneyland Park</t>
        </is>
      </c>
      <c r="E25928" s="8" t="inlineStr">
        <is>
          <t>Disneyland Railroad Discoveryland Station</t>
        </is>
      </c>
      <c r="F25928" s="8" t="inlineStr">
        <is>
          <t>STANDBY</t>
        </is>
      </c>
      <c r="G25928" s="8" t="n">
        <v>0</v>
      </c>
      <c r="H25928" s="8" t="inlineStr">
        <is>
          <t>CLOSED</t>
        </is>
      </c>
    </row>
    <row r="25929">
      <c r="A25929" s="8" t="inlineStr">
        <is>
          <t>2026-08-05</t>
        </is>
      </c>
      <c r="B25929" s="8" t="n">
        <v>17</v>
      </c>
      <c r="C25929" s="8" t="n">
        <v>31</v>
      </c>
      <c r="D25929" s="8" t="inlineStr">
        <is>
          <t>Disneyland Park</t>
        </is>
      </c>
      <c r="E25929" s="8" t="inlineStr">
        <is>
          <t>Les Mystères du Nautilus</t>
        </is>
      </c>
      <c r="F25929" s="8" t="inlineStr">
        <is>
          <t>STANDBY</t>
        </is>
      </c>
      <c r="G25929" s="8" t="n">
        <v>5</v>
      </c>
      <c r="H25929" s="8" t="inlineStr">
        <is>
          <t>OPERATING</t>
        </is>
      </c>
    </row>
    <row r="25930">
      <c r="A25930" s="8" t="inlineStr">
        <is>
          <t>2026-08-05</t>
        </is>
      </c>
      <c r="B25930" s="8" t="n">
        <v>17</v>
      </c>
      <c r="C25930" s="8" t="n">
        <v>31</v>
      </c>
      <c r="D25930" s="8" t="inlineStr">
        <is>
          <t>Disneyland Park</t>
        </is>
      </c>
      <c r="E25930" s="8" t="inlineStr">
        <is>
          <t>Mickey’s PhilharMagic</t>
        </is>
      </c>
      <c r="F25930" s="8" t="inlineStr">
        <is>
          <t>STANDBY</t>
        </is>
      </c>
      <c r="G25930" s="8" t="n">
        <v>0</v>
      </c>
      <c r="H25930" s="8" t="inlineStr">
        <is>
          <t>OPERATING</t>
        </is>
      </c>
    </row>
    <row r="25931">
      <c r="A25931" s="8" t="inlineStr">
        <is>
          <t>2026-08-05</t>
        </is>
      </c>
      <c r="B25931" s="8" t="n">
        <v>17</v>
      </c>
      <c r="C25931" s="8" t="n">
        <v>31</v>
      </c>
      <c r="D25931" s="8" t="inlineStr">
        <is>
          <t>Disneyland Park</t>
        </is>
      </c>
      <c r="E25931" s="8" t="inlineStr">
        <is>
          <t>Orbitron®</t>
        </is>
      </c>
      <c r="F25931" s="8" t="inlineStr">
        <is>
          <t>STANDBY</t>
        </is>
      </c>
      <c r="G25931" s="8" t="n">
        <v>40</v>
      </c>
      <c r="H25931" s="8" t="inlineStr">
        <is>
          <t>OPERATING</t>
        </is>
      </c>
    </row>
    <row r="25932">
      <c r="A25932" s="8" t="inlineStr">
        <is>
          <t>2026-08-05</t>
        </is>
      </c>
      <c r="B25932" s="8" t="n">
        <v>17</v>
      </c>
      <c r="C25932" s="8" t="n">
        <v>31</v>
      </c>
      <c r="D25932" s="8" t="inlineStr">
        <is>
          <t>Disneyland Park</t>
        </is>
      </c>
      <c r="E25932" s="8" t="inlineStr">
        <is>
          <t>Star Tours: The Adventures Continue*</t>
        </is>
      </c>
      <c r="F25932" s="8" t="inlineStr">
        <is>
          <t>STANDBY</t>
        </is>
      </c>
      <c r="G25932" s="8" t="n">
        <v>15</v>
      </c>
      <c r="H25932" s="8" t="inlineStr">
        <is>
          <t>OPERATING</t>
        </is>
      </c>
    </row>
    <row r="25933">
      <c r="A25933" s="8" t="inlineStr">
        <is>
          <t>2026-08-05</t>
        </is>
      </c>
      <c r="B25933" s="8" t="n">
        <v>17</v>
      </c>
      <c r="C25933" s="8" t="n">
        <v>31</v>
      </c>
      <c r="D25933" s="8" t="inlineStr">
        <is>
          <t>Disneyland Park</t>
        </is>
      </c>
      <c r="E25933" s="8" t="inlineStr">
        <is>
          <t>Star Wars Hyperspace Mountain</t>
        </is>
      </c>
      <c r="F25933" s="8" t="inlineStr">
        <is>
          <t>STANDBY</t>
        </is>
      </c>
      <c r="G25933" s="8" t="n">
        <v>40</v>
      </c>
      <c r="H25933" s="8" t="inlineStr">
        <is>
          <t>OPERATING</t>
        </is>
      </c>
    </row>
    <row r="25934">
      <c r="A25934" s="8" t="inlineStr">
        <is>
          <t>2026-08-05</t>
        </is>
      </c>
      <c r="B25934" s="8" t="n">
        <v>17</v>
      </c>
      <c r="C25934" s="8" t="n">
        <v>31</v>
      </c>
      <c r="D25934" s="8" t="inlineStr">
        <is>
          <t>Disneyland Park</t>
        </is>
      </c>
      <c r="E25934" s="8" t="inlineStr">
        <is>
          <t>Star Wars Hyperspace Mountain Single Rider</t>
        </is>
      </c>
      <c r="F25934" s="8" t="inlineStr">
        <is>
          <t>STANDBY</t>
        </is>
      </c>
      <c r="G25934" s="8" t="n">
        <v>25</v>
      </c>
      <c r="H25934" s="8" t="inlineStr">
        <is>
          <t>OPERATING</t>
        </is>
      </c>
    </row>
    <row r="25935">
      <c r="A25935" s="8" t="inlineStr">
        <is>
          <t>2026-08-05</t>
        </is>
      </c>
      <c r="B25935" s="8" t="n">
        <v>17</v>
      </c>
      <c r="C25935" s="8" t="n">
        <v>31</v>
      </c>
      <c r="D25935" s="8" t="inlineStr">
        <is>
          <t>Disneyland Park</t>
        </is>
      </c>
      <c r="E25935" s="8" t="inlineStr">
        <is>
          <t>Welcome to Starport: A Star Wars Encounter</t>
        </is>
      </c>
      <c r="F25935" s="8" t="inlineStr">
        <is>
          <t>STANDBY</t>
        </is>
      </c>
      <c r="G25935" s="8" t="n">
        <v>0</v>
      </c>
      <c r="H25935" s="8" t="inlineStr">
        <is>
          <t>CLOSED</t>
        </is>
      </c>
    </row>
    <row r="25936">
      <c r="A25936" s="8" t="inlineStr">
        <is>
          <t>2026-08-05</t>
        </is>
      </c>
      <c r="B25936" s="8" t="n">
        <v>17</v>
      </c>
      <c r="C25936" s="8" t="n">
        <v>31</v>
      </c>
      <c r="D25936" s="8" t="inlineStr">
        <is>
          <t>Disneyland Park</t>
        </is>
      </c>
      <c r="E25936" s="8" t="inlineStr">
        <is>
          <t>"it's a small world"</t>
        </is>
      </c>
      <c r="F25936" s="8" t="inlineStr">
        <is>
          <t>STANDBY</t>
        </is>
      </c>
      <c r="G25936" s="8" t="n">
        <v>5</v>
      </c>
      <c r="H25936" s="8" t="inlineStr">
        <is>
          <t>OPERATING</t>
        </is>
      </c>
    </row>
    <row r="25937">
      <c r="A25937" s="8" t="inlineStr">
        <is>
          <t>2026-08-05</t>
        </is>
      </c>
      <c r="B25937" s="8" t="n">
        <v>17</v>
      </c>
      <c r="C25937" s="8" t="n">
        <v>31</v>
      </c>
      <c r="D25937" s="8" t="inlineStr">
        <is>
          <t>Disneyland Park</t>
        </is>
      </c>
      <c r="E25937" s="8" t="inlineStr">
        <is>
          <t>Alice's Curious Labyrinth</t>
        </is>
      </c>
      <c r="F25937" s="8" t="inlineStr">
        <is>
          <t>STANDBY</t>
        </is>
      </c>
      <c r="G25937" s="8" t="n">
        <v>5</v>
      </c>
      <c r="H25937" s="8" t="inlineStr">
        <is>
          <t>OPERATING</t>
        </is>
      </c>
    </row>
    <row r="25938">
      <c r="A25938" s="8" t="inlineStr">
        <is>
          <t>2026-08-05</t>
        </is>
      </c>
      <c r="B25938" s="8" t="n">
        <v>17</v>
      </c>
      <c r="C25938" s="8" t="n">
        <v>31</v>
      </c>
      <c r="D25938" s="8" t="inlineStr">
        <is>
          <t>Disneyland Park</t>
        </is>
      </c>
      <c r="E25938" s="8" t="inlineStr">
        <is>
          <t>Blanche-Neige et les Sept Nains®</t>
        </is>
      </c>
      <c r="F25938" s="8" t="inlineStr">
        <is>
          <t>STANDBY</t>
        </is>
      </c>
      <c r="G25938" s="8" t="n">
        <v>30</v>
      </c>
      <c r="H25938" s="8" t="inlineStr">
        <is>
          <t>OPERATING</t>
        </is>
      </c>
    </row>
    <row r="25939">
      <c r="A25939" s="8" t="inlineStr">
        <is>
          <t>2026-08-05</t>
        </is>
      </c>
      <c r="B25939" s="8" t="n">
        <v>17</v>
      </c>
      <c r="C25939" s="8" t="n">
        <v>31</v>
      </c>
      <c r="D25939" s="8" t="inlineStr">
        <is>
          <t>Disneyland Park</t>
        </is>
      </c>
      <c r="E25939" s="8" t="inlineStr">
        <is>
          <t>Casey Jr. – le Petit Train du Cirque</t>
        </is>
      </c>
      <c r="F25939" s="8" t="inlineStr">
        <is>
          <t>STANDBY</t>
        </is>
      </c>
      <c r="G25939" s="8" t="n">
        <v>25</v>
      </c>
      <c r="H25939" s="8" t="inlineStr">
        <is>
          <t>OPERATING</t>
        </is>
      </c>
    </row>
    <row r="25940">
      <c r="A25940" s="8" t="inlineStr">
        <is>
          <t>2026-08-05</t>
        </is>
      </c>
      <c r="B25940" s="8" t="n">
        <v>17</v>
      </c>
      <c r="C25940" s="8" t="n">
        <v>31</v>
      </c>
      <c r="D25940" s="8" t="inlineStr">
        <is>
          <t>Disneyland Park</t>
        </is>
      </c>
      <c r="E25940" s="8" t="inlineStr">
        <is>
          <t>Disneyland Railroad Fantasyland Station</t>
        </is>
      </c>
      <c r="F25940" s="8" t="inlineStr">
        <is>
          <t>STANDBY</t>
        </is>
      </c>
      <c r="G25940" s="8" t="n">
        <v>0</v>
      </c>
      <c r="H25940" s="8" t="inlineStr">
        <is>
          <t>CLOSED</t>
        </is>
      </c>
    </row>
    <row r="25941">
      <c r="A25941" s="8" t="inlineStr">
        <is>
          <t>2026-08-05</t>
        </is>
      </c>
      <c r="B25941" s="8" t="n">
        <v>17</v>
      </c>
      <c r="C25941" s="8" t="n">
        <v>31</v>
      </c>
      <c r="D25941" s="8" t="inlineStr">
        <is>
          <t>Disneyland Park</t>
        </is>
      </c>
      <c r="E25941" s="8" t="inlineStr">
        <is>
          <t>Disneyland Railroad Main Street Station</t>
        </is>
      </c>
      <c r="F25941" s="8" t="inlineStr">
        <is>
          <t>STANDBY</t>
        </is>
      </c>
      <c r="G25941" s="8" t="n">
        <v>20</v>
      </c>
      <c r="H25941" s="8" t="inlineStr">
        <is>
          <t>OPERATING</t>
        </is>
      </c>
    </row>
    <row r="25942">
      <c r="A25942" s="8" t="inlineStr">
        <is>
          <t>2026-08-05</t>
        </is>
      </c>
      <c r="B25942" s="8" t="n">
        <v>17</v>
      </c>
      <c r="C25942" s="8" t="n">
        <v>31</v>
      </c>
      <c r="D25942" s="8" t="inlineStr">
        <is>
          <t>Disneyland Park</t>
        </is>
      </c>
      <c r="E25942" s="8" t="inlineStr">
        <is>
          <t>Dumbo the Flying Elephant</t>
        </is>
      </c>
      <c r="F25942" s="8" t="inlineStr">
        <is>
          <t>STANDBY</t>
        </is>
      </c>
      <c r="G25942" s="8" t="n">
        <v>35</v>
      </c>
      <c r="H25942" s="8" t="inlineStr">
        <is>
          <t>OPERATING</t>
        </is>
      </c>
    </row>
    <row r="25943">
      <c r="A25943" s="8" t="inlineStr">
        <is>
          <t>2026-08-05</t>
        </is>
      </c>
      <c r="B25943" s="8" t="n">
        <v>17</v>
      </c>
      <c r="C25943" s="8" t="n">
        <v>31</v>
      </c>
      <c r="D25943" s="8" t="inlineStr">
        <is>
          <t>Disneyland Park</t>
        </is>
      </c>
      <c r="E25943" s="8" t="inlineStr">
        <is>
          <t>La Tanière du Dragon</t>
        </is>
      </c>
      <c r="F25943" s="8" t="inlineStr">
        <is>
          <t>STANDBY</t>
        </is>
      </c>
      <c r="G25943" s="8" t="n">
        <v>0</v>
      </c>
      <c r="H25943" s="8" t="inlineStr">
        <is>
          <t>OPERATING</t>
        </is>
      </c>
    </row>
    <row r="25944">
      <c r="A25944" s="8" t="inlineStr">
        <is>
          <t>2026-08-05</t>
        </is>
      </c>
      <c r="B25944" s="8" t="n">
        <v>17</v>
      </c>
      <c r="C25944" s="8" t="n">
        <v>31</v>
      </c>
      <c r="D25944" s="8" t="inlineStr">
        <is>
          <t>Disneyland Park</t>
        </is>
      </c>
      <c r="E25944" s="8" t="inlineStr">
        <is>
          <t>Le Carrousel de Lancelot</t>
        </is>
      </c>
      <c r="F25944" s="8" t="inlineStr">
        <is>
          <t>STANDBY</t>
        </is>
      </c>
      <c r="G25944" s="8" t="n">
        <v>15</v>
      </c>
      <c r="H25944" s="8" t="inlineStr">
        <is>
          <t>OPERATING</t>
        </is>
      </c>
    </row>
    <row r="25945">
      <c r="A25945" s="8" t="inlineStr">
        <is>
          <t>2026-08-05</t>
        </is>
      </c>
      <c r="B25945" s="8" t="n">
        <v>17</v>
      </c>
      <c r="C25945" s="8" t="n">
        <v>31</v>
      </c>
      <c r="D25945" s="8" t="inlineStr">
        <is>
          <t>Disneyland Park</t>
        </is>
      </c>
      <c r="E25945" s="8" t="inlineStr">
        <is>
          <t>Le Pays des Contes de Fées, presented by Vittel</t>
        </is>
      </c>
      <c r="F25945" s="8" t="inlineStr">
        <is>
          <t>STANDBY</t>
        </is>
      </c>
      <c r="G25945" s="8" t="n">
        <v>5</v>
      </c>
      <c r="H25945" s="8" t="inlineStr">
        <is>
          <t>OPERATING</t>
        </is>
      </c>
    </row>
    <row r="25946">
      <c r="A25946" s="8" t="inlineStr">
        <is>
          <t>2026-08-05</t>
        </is>
      </c>
      <c r="B25946" s="8" t="n">
        <v>17</v>
      </c>
      <c r="C25946" s="8" t="n">
        <v>31</v>
      </c>
      <c r="D25946" s="8" t="inlineStr">
        <is>
          <t>Disneyland Park</t>
        </is>
      </c>
      <c r="E25946" s="8" t="inlineStr">
        <is>
          <t>Les Voyages de Pinocchio</t>
        </is>
      </c>
      <c r="F25946" s="8" t="inlineStr">
        <is>
          <t>STANDBY</t>
        </is>
      </c>
      <c r="G25946" s="8" t="n">
        <v>20</v>
      </c>
      <c r="H25946" s="8" t="inlineStr">
        <is>
          <t>OPERATING</t>
        </is>
      </c>
    </row>
    <row r="25947">
      <c r="A25947" s="8" t="inlineStr">
        <is>
          <t>2026-08-05</t>
        </is>
      </c>
      <c r="B25947" s="8" t="n">
        <v>17</v>
      </c>
      <c r="C25947" s="8" t="n">
        <v>31</v>
      </c>
      <c r="D25947" s="8" t="inlineStr">
        <is>
          <t>Disneyland Park</t>
        </is>
      </c>
      <c r="E25947" s="8" t="inlineStr">
        <is>
          <t>Mad Hatter's Tea Cups</t>
        </is>
      </c>
      <c r="F25947" s="8" t="inlineStr">
        <is>
          <t>STANDBY</t>
        </is>
      </c>
      <c r="G25947" s="8" t="n">
        <v>5</v>
      </c>
      <c r="H25947" s="8" t="inlineStr">
        <is>
          <t>OPERATING</t>
        </is>
      </c>
    </row>
    <row r="25948">
      <c r="A25948" s="8" t="inlineStr">
        <is>
          <t>2026-08-05</t>
        </is>
      </c>
      <c r="B25948" s="8" t="n">
        <v>17</v>
      </c>
      <c r="C25948" s="8" t="n">
        <v>31</v>
      </c>
      <c r="D25948" s="8" t="inlineStr">
        <is>
          <t>Disneyland Park</t>
        </is>
      </c>
      <c r="E25948" s="8" t="inlineStr">
        <is>
          <t>Meet Mickey Mouse</t>
        </is>
      </c>
      <c r="F25948" s="8" t="inlineStr">
        <is>
          <t>STANDBY</t>
        </is>
      </c>
      <c r="G25948" s="8" t="n">
        <v>0</v>
      </c>
      <c r="H25948" s="8" t="inlineStr">
        <is>
          <t>OPERATING</t>
        </is>
      </c>
    </row>
    <row r="25949">
      <c r="A25949" s="8" t="inlineStr">
        <is>
          <t>2026-08-05</t>
        </is>
      </c>
      <c r="B25949" s="8" t="n">
        <v>17</v>
      </c>
      <c r="C25949" s="8" t="n">
        <v>31</v>
      </c>
      <c r="D25949" s="8" t="inlineStr">
        <is>
          <t>Disneyland Park</t>
        </is>
      </c>
      <c r="E25949" s="8" t="inlineStr">
        <is>
          <t>Peter Pan's Flight</t>
        </is>
      </c>
      <c r="F25949" s="8" t="inlineStr">
        <is>
          <t>STANDBY</t>
        </is>
      </c>
      <c r="G25949" s="8" t="n">
        <v>50</v>
      </c>
      <c r="H25949" s="8" t="inlineStr">
        <is>
          <t>OPERATING</t>
        </is>
      </c>
    </row>
    <row r="25950">
      <c r="A25950" s="8" t="inlineStr">
        <is>
          <t>2026-08-05</t>
        </is>
      </c>
      <c r="B25950" s="8" t="n">
        <v>17</v>
      </c>
      <c r="C25950" s="8" t="n">
        <v>31</v>
      </c>
      <c r="D25950" s="8" t="inlineStr">
        <is>
          <t>Disneyland Park</t>
        </is>
      </c>
      <c r="E25950" s="8" t="inlineStr">
        <is>
          <t>Princess Pavilion</t>
        </is>
      </c>
      <c r="F25950" s="8" t="inlineStr">
        <is>
          <t>STANDBY</t>
        </is>
      </c>
      <c r="G25950" s="8" t="n">
        <v>0</v>
      </c>
      <c r="H25950" s="8" t="inlineStr">
        <is>
          <t>OPERATING</t>
        </is>
      </c>
    </row>
    <row r="25951">
      <c r="A25951" s="8" t="inlineStr">
        <is>
          <t>2026-08-05</t>
        </is>
      </c>
      <c r="B25951" s="8" t="n">
        <v>17</v>
      </c>
      <c r="C25951" s="8" t="n">
        <v>31</v>
      </c>
      <c r="D25951" s="8" t="inlineStr">
        <is>
          <t>Disneyland Park</t>
        </is>
      </c>
      <c r="E25951" s="8" t="inlineStr">
        <is>
          <t>Big Thunder Mountain</t>
        </is>
      </c>
      <c r="F25951" s="8" t="inlineStr">
        <is>
          <t>STANDBY</t>
        </is>
      </c>
      <c r="G25951" s="8" t="n">
        <v>75</v>
      </c>
      <c r="H25951" s="8" t="inlineStr">
        <is>
          <t>OPERATING</t>
        </is>
      </c>
    </row>
    <row r="25952">
      <c r="A25952" s="8" t="inlineStr">
        <is>
          <t>2026-08-05</t>
        </is>
      </c>
      <c r="B25952" s="8" t="n">
        <v>17</v>
      </c>
      <c r="C25952" s="8" t="n">
        <v>31</v>
      </c>
      <c r="D25952" s="8" t="inlineStr">
        <is>
          <t>Disneyland Park</t>
        </is>
      </c>
      <c r="E25952" s="8" t="inlineStr">
        <is>
          <t>Disneyland Railroad Frontierland Depot</t>
        </is>
      </c>
      <c r="F25952" s="8" t="inlineStr">
        <is>
          <t>STANDBY</t>
        </is>
      </c>
      <c r="G25952" s="8" t="n">
        <v>40</v>
      </c>
      <c r="H25952" s="8" t="inlineStr">
        <is>
          <t>OPERATING</t>
        </is>
      </c>
    </row>
    <row r="25953">
      <c r="A25953" s="8" t="inlineStr">
        <is>
          <t>2026-08-05</t>
        </is>
      </c>
      <c r="B25953" s="8" t="n">
        <v>17</v>
      </c>
      <c r="C25953" s="8" t="n">
        <v>31</v>
      </c>
      <c r="D25953" s="8" t="inlineStr">
        <is>
          <t>Disneyland Park</t>
        </is>
      </c>
      <c r="E25953" s="8" t="inlineStr">
        <is>
          <t>Frontierland Playground</t>
        </is>
      </c>
      <c r="F25953" s="8" t="inlineStr">
        <is>
          <t>STANDBY</t>
        </is>
      </c>
      <c r="G25953" s="8" t="n">
        <v>0</v>
      </c>
      <c r="H25953" s="8" t="inlineStr">
        <is>
          <t>OPERATING</t>
        </is>
      </c>
    </row>
    <row r="25954">
      <c r="A25954" s="8" t="inlineStr">
        <is>
          <t>2026-08-05</t>
        </is>
      </c>
      <c r="B25954" s="8" t="n">
        <v>17</v>
      </c>
      <c r="C25954" s="8" t="n">
        <v>31</v>
      </c>
      <c r="D25954" s="8" t="inlineStr">
        <is>
          <t>Disneyland Park</t>
        </is>
      </c>
      <c r="E25954" s="8" t="inlineStr">
        <is>
          <t>Phantom Manor</t>
        </is>
      </c>
      <c r="F25954" s="8" t="inlineStr">
        <is>
          <t>STANDBY</t>
        </is>
      </c>
      <c r="G25954" s="8" t="n">
        <v>20</v>
      </c>
      <c r="H25954" s="8" t="inlineStr">
        <is>
          <t>OPERATING</t>
        </is>
      </c>
    </row>
    <row r="25955">
      <c r="A25955" s="8" t="inlineStr">
        <is>
          <t>2026-08-05</t>
        </is>
      </c>
      <c r="B25955" s="8" t="n">
        <v>17</v>
      </c>
      <c r="C25955" s="8" t="n">
        <v>31</v>
      </c>
      <c r="D25955" s="8" t="inlineStr">
        <is>
          <t>Disneyland Park</t>
        </is>
      </c>
      <c r="E25955" s="8" t="inlineStr">
        <is>
          <t>River Rogue Keelboats</t>
        </is>
      </c>
      <c r="F25955" s="8" t="inlineStr">
        <is>
          <t>STANDBY</t>
        </is>
      </c>
      <c r="G25955" s="8" t="n">
        <v>0</v>
      </c>
      <c r="H25955" s="8" t="inlineStr">
        <is>
          <t>CLOSED</t>
        </is>
      </c>
    </row>
    <row r="25956">
      <c r="A25956" s="8" t="inlineStr">
        <is>
          <t>2026-08-05</t>
        </is>
      </c>
      <c r="B25956" s="8" t="n">
        <v>17</v>
      </c>
      <c r="C25956" s="8" t="n">
        <v>31</v>
      </c>
      <c r="D25956" s="8" t="inlineStr">
        <is>
          <t>Disneyland Park</t>
        </is>
      </c>
      <c r="E25956" s="8" t="inlineStr">
        <is>
          <t>Rustler Roundup Shootin' Gallery</t>
        </is>
      </c>
      <c r="F25956" s="8" t="inlineStr">
        <is>
          <t>STANDBY</t>
        </is>
      </c>
      <c r="G25956" s="8" t="n">
        <v>0</v>
      </c>
      <c r="H25956" s="8" t="inlineStr">
        <is>
          <t>OPERATING</t>
        </is>
      </c>
    </row>
    <row r="25957">
      <c r="A25957" s="8" t="inlineStr">
        <is>
          <t>2026-08-05</t>
        </is>
      </c>
      <c r="B25957" s="8" t="n">
        <v>17</v>
      </c>
      <c r="C25957" s="8" t="n">
        <v>31</v>
      </c>
      <c r="D25957" s="8" t="inlineStr">
        <is>
          <t>Disneyland Park</t>
        </is>
      </c>
      <c r="E25957" s="8" t="inlineStr">
        <is>
          <t>Thunder Mesa Riverboat Landing</t>
        </is>
      </c>
      <c r="F25957" s="8" t="inlineStr">
        <is>
          <t>STANDBY</t>
        </is>
      </c>
      <c r="G25957" s="8" t="n">
        <v>20</v>
      </c>
      <c r="H25957" s="8" t="inlineStr">
        <is>
          <t>OPERATING</t>
        </is>
      </c>
    </row>
    <row r="25958">
      <c r="A25958" s="8" t="inlineStr">
        <is>
          <t>2026-08-05</t>
        </is>
      </c>
      <c r="B25958" s="8" t="n">
        <v>17</v>
      </c>
      <c r="C25958" s="8" t="n">
        <v>31</v>
      </c>
      <c r="D25958" s="8" t="inlineStr">
        <is>
          <t>Disneyland Park</t>
        </is>
      </c>
      <c r="E25958" s="8" t="inlineStr">
        <is>
          <t>Disneyland Railroad Main Street Station</t>
        </is>
      </c>
      <c r="F25958" s="8" t="inlineStr">
        <is>
          <t>STANDBY</t>
        </is>
      </c>
      <c r="G25958" s="8" t="n">
        <v>0</v>
      </c>
      <c r="H25958" s="8" t="inlineStr">
        <is>
          <t>OPERATING</t>
        </is>
      </c>
    </row>
    <row r="25959">
      <c r="A25959" s="8" t="inlineStr">
        <is>
          <t>2026-08-05</t>
        </is>
      </c>
      <c r="B25959" s="8" t="n">
        <v>17</v>
      </c>
      <c r="C25959" s="8" t="n">
        <v>31</v>
      </c>
      <c r="D25959" s="8" t="inlineStr">
        <is>
          <t>Disneyland Park</t>
        </is>
      </c>
      <c r="E25959" s="8" t="inlineStr">
        <is>
          <t>Main Street Vehicles</t>
        </is>
      </c>
      <c r="F25959" s="8" t="inlineStr">
        <is>
          <t>STANDBY</t>
        </is>
      </c>
      <c r="G25959" s="8" t="n">
        <v>0</v>
      </c>
      <c r="H25959" s="8" t="inlineStr">
        <is>
          <t>CLOSED</t>
        </is>
      </c>
    </row>
    <row r="25960">
      <c r="A25960" s="8" t="inlineStr">
        <is>
          <t>2026-08-05</t>
        </is>
      </c>
      <c r="B25960" s="8" t="n">
        <v>17</v>
      </c>
      <c r="C25960" s="8" t="n">
        <v>31</v>
      </c>
      <c r="D25960" s="8" t="inlineStr">
        <is>
          <t>Disney Adventure World</t>
        </is>
      </c>
      <c r="E25960" s="8" t="inlineStr">
        <is>
          <t>Avengers Assemble: Flight Force</t>
        </is>
      </c>
      <c r="F25960" s="8" t="inlineStr">
        <is>
          <t>STANDBY</t>
        </is>
      </c>
      <c r="G25960" s="8" t="n">
        <v>30</v>
      </c>
      <c r="H25960" s="8" t="inlineStr">
        <is>
          <t>OPERATING</t>
        </is>
      </c>
    </row>
    <row r="25961">
      <c r="A25961" s="8" t="inlineStr">
        <is>
          <t>2026-08-05</t>
        </is>
      </c>
      <c r="B25961" s="8" t="n">
        <v>17</v>
      </c>
      <c r="C25961" s="8" t="n">
        <v>31</v>
      </c>
      <c r="D25961" s="8" t="inlineStr">
        <is>
          <t>Disney Adventure World</t>
        </is>
      </c>
      <c r="E25961" s="8" t="inlineStr">
        <is>
          <t>Avengers Assemble: Flight Force Single Rider</t>
        </is>
      </c>
      <c r="F25961" s="8" t="inlineStr">
        <is>
          <t>STANDBY</t>
        </is>
      </c>
      <c r="G25961" s="8" t="n">
        <v>20</v>
      </c>
      <c r="H25961" s="8" t="inlineStr">
        <is>
          <t>OPERATING</t>
        </is>
      </c>
    </row>
    <row r="25962">
      <c r="A25962" s="8" t="inlineStr">
        <is>
          <t>2026-08-05</t>
        </is>
      </c>
      <c r="B25962" s="8" t="n">
        <v>17</v>
      </c>
      <c r="C25962" s="8" t="n">
        <v>31</v>
      </c>
      <c r="D25962" s="8" t="inlineStr">
        <is>
          <t>Disney Adventure World</t>
        </is>
      </c>
      <c r="E25962" s="8" t="inlineStr">
        <is>
          <t>Spider-Man W.E.B. Adventure</t>
        </is>
      </c>
      <c r="F25962" s="8" t="inlineStr">
        <is>
          <t>STANDBY</t>
        </is>
      </c>
      <c r="G25962" s="8" t="n">
        <v>60</v>
      </c>
      <c r="H25962" s="8" t="inlineStr">
        <is>
          <t>OPERATING</t>
        </is>
      </c>
    </row>
    <row r="25963">
      <c r="A25963" s="8" t="inlineStr">
        <is>
          <t>2026-08-05</t>
        </is>
      </c>
      <c r="B25963" s="8" t="n">
        <v>17</v>
      </c>
      <c r="C25963" s="8" t="n">
        <v>31</v>
      </c>
      <c r="D25963" s="8" t="inlineStr">
        <is>
          <t>Disney Adventure World</t>
        </is>
      </c>
      <c r="E25963" s="8" t="inlineStr">
        <is>
          <t>Spider-Man W.E.B. Adventure Single Rider</t>
        </is>
      </c>
      <c r="F25963" s="8" t="inlineStr">
        <is>
          <t>STANDBY</t>
        </is>
      </c>
      <c r="G25963" s="8" t="n">
        <v>25</v>
      </c>
      <c r="H25963" s="8" t="inlineStr">
        <is>
          <t>OPERATING</t>
        </is>
      </c>
    </row>
    <row r="25964">
      <c r="A25964" s="8" t="inlineStr">
        <is>
          <t>2026-08-05</t>
        </is>
      </c>
      <c r="B25964" s="8" t="n">
        <v>17</v>
      </c>
      <c r="C25964" s="8" t="n">
        <v>31</v>
      </c>
      <c r="D25964" s="8" t="inlineStr">
        <is>
          <t>Disney Adventure World</t>
        </is>
      </c>
      <c r="E25964" s="8" t="inlineStr">
        <is>
          <t>The Twilight Zone Tower of Terror</t>
        </is>
      </c>
      <c r="F25964" s="8" t="inlineStr">
        <is>
          <t>STANDBY</t>
        </is>
      </c>
      <c r="G25964" s="8" t="n">
        <v>35</v>
      </c>
      <c r="H25964" s="8" t="inlineStr">
        <is>
          <t>OPERATING</t>
        </is>
      </c>
    </row>
    <row r="25965">
      <c r="A25965" s="8" t="inlineStr">
        <is>
          <t>2026-08-05</t>
        </is>
      </c>
      <c r="B25965" s="8" t="n">
        <v>17</v>
      </c>
      <c r="C25965" s="8" t="n">
        <v>31</v>
      </c>
      <c r="D25965" s="8" t="inlineStr">
        <is>
          <t>Disney Adventure World</t>
        </is>
      </c>
      <c r="E25965" s="8" t="inlineStr">
        <is>
          <t>Cars Quatre Roues Rallye</t>
        </is>
      </c>
      <c r="F25965" s="8" t="inlineStr">
        <is>
          <t>STANDBY</t>
        </is>
      </c>
      <c r="G25965" s="8" t="n">
        <v>15</v>
      </c>
      <c r="H25965" s="8" t="inlineStr">
        <is>
          <t>OPERATING</t>
        </is>
      </c>
    </row>
    <row r="25966">
      <c r="A25966" s="8" t="inlineStr">
        <is>
          <t>2026-08-05</t>
        </is>
      </c>
      <c r="B25966" s="8" t="n">
        <v>17</v>
      </c>
      <c r="C25966" s="8" t="n">
        <v>31</v>
      </c>
      <c r="D25966" s="8" t="inlineStr">
        <is>
          <t>Disney Adventure World</t>
        </is>
      </c>
      <c r="E25966" s="8" t="inlineStr">
        <is>
          <t>Cars ROAD TRIP</t>
        </is>
      </c>
      <c r="F25966" s="8" t="inlineStr">
        <is>
          <t>STANDBY</t>
        </is>
      </c>
      <c r="G25966" s="8" t="n">
        <v>10</v>
      </c>
      <c r="H25966" s="8" t="inlineStr">
        <is>
          <t>OPERATING</t>
        </is>
      </c>
    </row>
    <row r="25967">
      <c r="A25967" s="8" t="inlineStr">
        <is>
          <t>2026-08-05</t>
        </is>
      </c>
      <c r="B25967" s="8" t="n">
        <v>17</v>
      </c>
      <c r="C25967" s="8" t="n">
        <v>31</v>
      </c>
      <c r="D25967" s="8" t="inlineStr">
        <is>
          <t>Disney Adventure World</t>
        </is>
      </c>
      <c r="E25967" s="8" t="inlineStr">
        <is>
          <t>Crush's Coaster</t>
        </is>
      </c>
      <c r="F25967" s="8" t="inlineStr">
        <is>
          <t>STANDBY</t>
        </is>
      </c>
      <c r="G25967" s="8" t="n">
        <v>85</v>
      </c>
      <c r="H25967" s="8" t="inlineStr">
        <is>
          <t>OPERATING</t>
        </is>
      </c>
    </row>
    <row r="25968">
      <c r="A25968" s="8" t="inlineStr">
        <is>
          <t>2026-08-05</t>
        </is>
      </c>
      <c r="B25968" s="8" t="n">
        <v>17</v>
      </c>
      <c r="C25968" s="8" t="n">
        <v>31</v>
      </c>
      <c r="D25968" s="8" t="inlineStr">
        <is>
          <t>Disney Adventure World</t>
        </is>
      </c>
      <c r="E25968" s="8" t="inlineStr">
        <is>
          <t>Crush's Coaster Single Rider</t>
        </is>
      </c>
      <c r="F25968" s="8" t="inlineStr">
        <is>
          <t>STANDBY</t>
        </is>
      </c>
      <c r="G25968" s="8" t="n">
        <v>70</v>
      </c>
      <c r="H25968" s="8" t="inlineStr">
        <is>
          <t>OPERATING</t>
        </is>
      </c>
    </row>
    <row r="25969">
      <c r="A25969" s="8" t="inlineStr">
        <is>
          <t>2026-08-05</t>
        </is>
      </c>
      <c r="B25969" s="8" t="n">
        <v>17</v>
      </c>
      <c r="C25969" s="8" t="n">
        <v>31</v>
      </c>
      <c r="D25969" s="8" t="inlineStr">
        <is>
          <t>Disney Adventure World</t>
        </is>
      </c>
      <c r="E25969" s="8" t="inlineStr">
        <is>
          <t>Les Tapis Volants - Flying Carpets Over Agrabah®</t>
        </is>
      </c>
      <c r="F25969" s="8" t="inlineStr">
        <is>
          <t>STANDBY</t>
        </is>
      </c>
      <c r="G25969" s="8" t="n">
        <v>15</v>
      </c>
      <c r="H25969" s="8" t="inlineStr">
        <is>
          <t>OPERATING</t>
        </is>
      </c>
    </row>
    <row r="25970">
      <c r="A25970" s="8" t="inlineStr">
        <is>
          <t>2026-08-05</t>
        </is>
      </c>
      <c r="B25970" s="8" t="n">
        <v>17</v>
      </c>
      <c r="C25970" s="8" t="n">
        <v>31</v>
      </c>
      <c r="D25970" s="8" t="inlineStr">
        <is>
          <t>Disney Adventure World</t>
        </is>
      </c>
      <c r="E25970" s="8" t="inlineStr">
        <is>
          <t>Ratatouille : L’Aventure Totalement Toquée de Rémy​</t>
        </is>
      </c>
      <c r="F25970" s="8" t="inlineStr">
        <is>
          <t>STANDBY</t>
        </is>
      </c>
      <c r="G25970" s="8" t="n">
        <v>45</v>
      </c>
      <c r="H25970" s="8" t="inlineStr">
        <is>
          <t>OPERATING</t>
        </is>
      </c>
    </row>
    <row r="25971">
      <c r="A25971" s="8" t="inlineStr">
        <is>
          <t>2026-08-05</t>
        </is>
      </c>
      <c r="B25971" s="8" t="n">
        <v>17</v>
      </c>
      <c r="C25971" s="8" t="n">
        <v>31</v>
      </c>
      <c r="D25971" s="8" t="inlineStr">
        <is>
          <t>Disney Adventure World</t>
        </is>
      </c>
      <c r="E25971" s="8" t="inlineStr">
        <is>
          <t>Ratatouille: The Adventure Single Rider</t>
        </is>
      </c>
      <c r="F25971" s="8" t="inlineStr">
        <is>
          <t>STANDBY</t>
        </is>
      </c>
      <c r="G25971" s="8" t="n">
        <v>20</v>
      </c>
      <c r="H25971" s="8" t="inlineStr">
        <is>
          <t>OPERATING</t>
        </is>
      </c>
    </row>
    <row r="25972">
      <c r="A25972" s="8" t="inlineStr">
        <is>
          <t>2026-08-05</t>
        </is>
      </c>
      <c r="B25972" s="8" t="n">
        <v>17</v>
      </c>
      <c r="C25972" s="8" t="n">
        <v>31</v>
      </c>
      <c r="D25972" s="8" t="inlineStr">
        <is>
          <t>Disney Adventure World</t>
        </is>
      </c>
      <c r="E25972" s="8" t="inlineStr">
        <is>
          <t>RC Racer</t>
        </is>
      </c>
      <c r="F25972" s="8" t="inlineStr">
        <is>
          <t>STANDBY</t>
        </is>
      </c>
      <c r="G25972" s="8" t="n">
        <v>40</v>
      </c>
      <c r="H25972" s="8" t="inlineStr">
        <is>
          <t>OPERATING</t>
        </is>
      </c>
    </row>
    <row r="25973">
      <c r="A25973" s="8" t="inlineStr">
        <is>
          <t>2026-08-05</t>
        </is>
      </c>
      <c r="B25973" s="8" t="n">
        <v>17</v>
      </c>
      <c r="C25973" s="8" t="n">
        <v>31</v>
      </c>
      <c r="D25973" s="8" t="inlineStr">
        <is>
          <t>Disney Adventure World</t>
        </is>
      </c>
      <c r="E25973" s="8" t="inlineStr">
        <is>
          <t>RC Racer Single Rider</t>
        </is>
      </c>
      <c r="F25973" s="8" t="inlineStr">
        <is>
          <t>STANDBY</t>
        </is>
      </c>
      <c r="G25973" s="8" t="n">
        <v>35</v>
      </c>
      <c r="H25973" s="8" t="inlineStr">
        <is>
          <t>OPERATING</t>
        </is>
      </c>
    </row>
    <row r="25974">
      <c r="A25974" s="8" t="inlineStr">
        <is>
          <t>2026-08-05</t>
        </is>
      </c>
      <c r="B25974" s="8" t="n">
        <v>17</v>
      </c>
      <c r="C25974" s="8" t="n">
        <v>31</v>
      </c>
      <c r="D25974" s="8" t="inlineStr">
        <is>
          <t>Disney Adventure World</t>
        </is>
      </c>
      <c r="E25974" s="8" t="inlineStr">
        <is>
          <t>Slinky® Dog Zigzag Spin</t>
        </is>
      </c>
      <c r="F25974" s="8" t="inlineStr">
        <is>
          <t>STANDBY</t>
        </is>
      </c>
      <c r="G25974" s="8" t="n">
        <v>15</v>
      </c>
      <c r="H25974" s="8" t="inlineStr">
        <is>
          <t>OPERATING</t>
        </is>
      </c>
    </row>
    <row r="25975">
      <c r="A25975" s="8" t="inlineStr">
        <is>
          <t>2026-08-05</t>
        </is>
      </c>
      <c r="B25975" s="8" t="n">
        <v>17</v>
      </c>
      <c r="C25975" s="8" t="n">
        <v>31</v>
      </c>
      <c r="D25975" s="8" t="inlineStr">
        <is>
          <t>Disney Adventure World</t>
        </is>
      </c>
      <c r="E25975" s="8" t="inlineStr">
        <is>
          <t>Toy Soldiers Parachute Drop</t>
        </is>
      </c>
      <c r="F25975" s="8" t="inlineStr">
        <is>
          <t>STANDBY</t>
        </is>
      </c>
      <c r="G25975" s="8" t="n">
        <v>45</v>
      </c>
      <c r="H25975" s="8" t="inlineStr">
        <is>
          <t>OPERATING</t>
        </is>
      </c>
    </row>
    <row r="25976">
      <c r="A25976" s="8" t="inlineStr">
        <is>
          <t>2026-08-05</t>
        </is>
      </c>
      <c r="B25976" s="8" t="n">
        <v>17</v>
      </c>
      <c r="C25976" s="8" t="n">
        <v>31</v>
      </c>
      <c r="D25976" s="8" t="inlineStr">
        <is>
          <t>Disney Adventure World</t>
        </is>
      </c>
      <c r="E25976" s="8" t="inlineStr">
        <is>
          <t>Toy Soldiers Parachute Drop Single Rider</t>
        </is>
      </c>
      <c r="F25976" s="8" t="inlineStr">
        <is>
          <t>STANDBY</t>
        </is>
      </c>
      <c r="G25976" s="8" t="n">
        <v>15</v>
      </c>
      <c r="H25976" s="8" t="inlineStr">
        <is>
          <t>OPERATING</t>
        </is>
      </c>
    </row>
    <row r="25977">
      <c r="A25977" s="8" t="inlineStr">
        <is>
          <t>2026-08-05</t>
        </is>
      </c>
      <c r="B25977" s="8" t="n">
        <v>17</v>
      </c>
      <c r="C25977" s="8" t="n">
        <v>31</v>
      </c>
      <c r="D25977" s="8" t="inlineStr">
        <is>
          <t>Disney Adventure World</t>
        </is>
      </c>
      <c r="E25977" s="8" t="inlineStr">
        <is>
          <t>Entry to World of Frozen</t>
        </is>
      </c>
      <c r="F25977" s="8" t="inlineStr">
        <is>
          <t>STANDBY</t>
        </is>
      </c>
      <c r="G25977" s="8" t="n">
        <v>0</v>
      </c>
      <c r="H25977" s="8" t="inlineStr">
        <is>
          <t>OPERATING</t>
        </is>
      </c>
    </row>
    <row r="25978">
      <c r="A25978" s="8" t="inlineStr">
        <is>
          <t>2026-08-05</t>
        </is>
      </c>
      <c r="B25978" s="8" t="n">
        <v>17</v>
      </c>
      <c r="C25978" s="8" t="n">
        <v>31</v>
      </c>
      <c r="D25978" s="8" t="inlineStr">
        <is>
          <t>Disney Adventure World</t>
        </is>
      </c>
      <c r="E25978" s="8" t="inlineStr">
        <is>
          <t>Frozen Ever After</t>
        </is>
      </c>
      <c r="F25978" s="8" t="inlineStr">
        <is>
          <t>STANDBY</t>
        </is>
      </c>
      <c r="G25978" s="8" t="n">
        <v>75</v>
      </c>
      <c r="H25978" s="8" t="inlineStr">
        <is>
          <t>OPERATING</t>
        </is>
      </c>
    </row>
    <row r="25979">
      <c r="A25979" s="8" t="inlineStr">
        <is>
          <t>2026-08-05</t>
        </is>
      </c>
      <c r="B25979" s="8" t="n">
        <v>17</v>
      </c>
      <c r="C25979" s="8" t="n">
        <v>31</v>
      </c>
      <c r="D25979" s="8" t="inlineStr">
        <is>
          <t>Disney Adventure World</t>
        </is>
      </c>
      <c r="E25979" s="8" t="inlineStr">
        <is>
          <t>Raiponce Tangled Spin</t>
        </is>
      </c>
      <c r="F25979" s="8" t="inlineStr">
        <is>
          <t>STANDBY</t>
        </is>
      </c>
      <c r="G25979" s="8" t="n">
        <v>10</v>
      </c>
      <c r="H25979" s="8" t="inlineStr">
        <is>
          <t>OPERATING</t>
        </is>
      </c>
    </row>
    <row r="25980">
      <c r="A25980" s="8" t="inlineStr">
        <is>
          <t>2026-08-05</t>
        </is>
      </c>
      <c r="B25980" s="8" t="n">
        <v>17</v>
      </c>
      <c r="C25980" s="8" t="n">
        <v>45</v>
      </c>
      <c r="D25980" s="8" t="inlineStr">
        <is>
          <t>Disneyland Park</t>
        </is>
      </c>
      <c r="E25980" s="8" t="inlineStr">
        <is>
          <t>Adventure Isle</t>
        </is>
      </c>
      <c r="F25980" s="8" t="inlineStr">
        <is>
          <t>STANDBY</t>
        </is>
      </c>
      <c r="G25980" s="8" t="n">
        <v>0</v>
      </c>
      <c r="H25980" s="8" t="inlineStr">
        <is>
          <t>OPERATING</t>
        </is>
      </c>
    </row>
    <row r="25981">
      <c r="A25981" s="8" t="inlineStr">
        <is>
          <t>2026-08-05</t>
        </is>
      </c>
      <c r="B25981" s="8" t="n">
        <v>17</v>
      </c>
      <c r="C25981" s="8" t="n">
        <v>45</v>
      </c>
      <c r="D25981" s="8" t="inlineStr">
        <is>
          <t>Disneyland Park</t>
        </is>
      </c>
      <c r="E25981" s="8" t="inlineStr">
        <is>
          <t>Indiana Jones and the Temple of Peril Single Rider</t>
        </is>
      </c>
      <c r="F25981" s="8" t="inlineStr">
        <is>
          <t>STANDBY</t>
        </is>
      </c>
      <c r="G25981" s="8" t="n">
        <v>10</v>
      </c>
      <c r="H25981" s="8" t="inlineStr">
        <is>
          <t>OPERATING</t>
        </is>
      </c>
    </row>
    <row r="25982">
      <c r="A25982" s="8" t="inlineStr">
        <is>
          <t>2026-08-05</t>
        </is>
      </c>
      <c r="B25982" s="8" t="n">
        <v>17</v>
      </c>
      <c r="C25982" s="8" t="n">
        <v>45</v>
      </c>
      <c r="D25982" s="8" t="inlineStr">
        <is>
          <t>Disneyland Park</t>
        </is>
      </c>
      <c r="E25982" s="8" t="inlineStr">
        <is>
          <t>Indiana Jones™ and the Temple of Peril</t>
        </is>
      </c>
      <c r="F25982" s="8" t="inlineStr">
        <is>
          <t>STANDBY</t>
        </is>
      </c>
      <c r="G25982" s="8" t="n">
        <v>20</v>
      </c>
      <c r="H25982" s="8" t="inlineStr">
        <is>
          <t>OPERATING</t>
        </is>
      </c>
    </row>
    <row r="25983">
      <c r="A25983" s="8" t="inlineStr">
        <is>
          <t>2026-08-05</t>
        </is>
      </c>
      <c r="B25983" s="8" t="n">
        <v>17</v>
      </c>
      <c r="C25983" s="8" t="n">
        <v>45</v>
      </c>
      <c r="D25983" s="8" t="inlineStr">
        <is>
          <t>Disneyland Park</t>
        </is>
      </c>
      <c r="E25983" s="8" t="inlineStr">
        <is>
          <t>La Cabane des Robinson</t>
        </is>
      </c>
      <c r="F25983" s="8" t="inlineStr">
        <is>
          <t>STANDBY</t>
        </is>
      </c>
      <c r="G25983" s="8" t="n">
        <v>5</v>
      </c>
      <c r="H25983" s="8" t="inlineStr">
        <is>
          <t>OPERATING</t>
        </is>
      </c>
    </row>
    <row r="25984">
      <c r="A25984" s="8" t="inlineStr">
        <is>
          <t>2026-08-05</t>
        </is>
      </c>
      <c r="B25984" s="8" t="n">
        <v>17</v>
      </c>
      <c r="C25984" s="8" t="n">
        <v>45</v>
      </c>
      <c r="D25984" s="8" t="inlineStr">
        <is>
          <t>Disneyland Park</t>
        </is>
      </c>
      <c r="E25984" s="8" t="inlineStr">
        <is>
          <t>Le Passage Enchanté d'Aladdin</t>
        </is>
      </c>
      <c r="F25984" s="8" t="inlineStr">
        <is>
          <t>STANDBY</t>
        </is>
      </c>
      <c r="G25984" s="8" t="n">
        <v>0</v>
      </c>
      <c r="H25984" s="8" t="inlineStr">
        <is>
          <t>OPERATING</t>
        </is>
      </c>
    </row>
    <row r="25985">
      <c r="A25985" s="8" t="inlineStr">
        <is>
          <t>2026-08-05</t>
        </is>
      </c>
      <c r="B25985" s="8" t="n">
        <v>17</v>
      </c>
      <c r="C25985" s="8" t="n">
        <v>45</v>
      </c>
      <c r="D25985" s="8" t="inlineStr">
        <is>
          <t>Disneyland Park</t>
        </is>
      </c>
      <c r="E25985" s="8" t="inlineStr">
        <is>
          <t>Pirate Galleon</t>
        </is>
      </c>
      <c r="F25985" s="8" t="inlineStr">
        <is>
          <t>STANDBY</t>
        </is>
      </c>
      <c r="G25985" s="8" t="n">
        <v>0</v>
      </c>
      <c r="H25985" s="8" t="inlineStr">
        <is>
          <t>CLOSED</t>
        </is>
      </c>
    </row>
    <row r="25986">
      <c r="A25986" s="8" t="inlineStr">
        <is>
          <t>2026-08-05</t>
        </is>
      </c>
      <c r="B25986" s="8" t="n">
        <v>17</v>
      </c>
      <c r="C25986" s="8" t="n">
        <v>45</v>
      </c>
      <c r="D25986" s="8" t="inlineStr">
        <is>
          <t>Disneyland Park</t>
        </is>
      </c>
      <c r="E25986" s="8" t="inlineStr">
        <is>
          <t>Pirates of the Caribbean</t>
        </is>
      </c>
      <c r="F25986" s="8" t="inlineStr">
        <is>
          <t>STANDBY</t>
        </is>
      </c>
      <c r="G25986" s="8" t="n">
        <v>15</v>
      </c>
      <c r="H25986" s="8" t="inlineStr">
        <is>
          <t>OPERATING</t>
        </is>
      </c>
    </row>
    <row r="25987">
      <c r="A25987" s="8" t="inlineStr">
        <is>
          <t>2026-08-05</t>
        </is>
      </c>
      <c r="B25987" s="8" t="n">
        <v>17</v>
      </c>
      <c r="C25987" s="8" t="n">
        <v>45</v>
      </c>
      <c r="D25987" s="8" t="inlineStr">
        <is>
          <t>Disneyland Park</t>
        </is>
      </c>
      <c r="E25987" s="8" t="inlineStr">
        <is>
          <t>Pirates' Beach</t>
        </is>
      </c>
      <c r="F25987" s="8" t="inlineStr">
        <is>
          <t>STANDBY</t>
        </is>
      </c>
      <c r="G25987" s="8" t="n">
        <v>0</v>
      </c>
      <c r="H25987" s="8" t="inlineStr">
        <is>
          <t>OPERATING</t>
        </is>
      </c>
    </row>
    <row r="25988">
      <c r="A25988" s="8" t="inlineStr">
        <is>
          <t>2026-08-05</t>
        </is>
      </c>
      <c r="B25988" s="8" t="n">
        <v>17</v>
      </c>
      <c r="C25988" s="8" t="n">
        <v>45</v>
      </c>
      <c r="D25988" s="8" t="inlineStr">
        <is>
          <t>Disneyland Park</t>
        </is>
      </c>
      <c r="E25988" s="8" t="inlineStr">
        <is>
          <t>Autopia, presented by Avis</t>
        </is>
      </c>
      <c r="F25988" s="8" t="inlineStr">
        <is>
          <t>STANDBY</t>
        </is>
      </c>
      <c r="G25988" s="8" t="n">
        <v>50</v>
      </c>
      <c r="H25988" s="8" t="inlineStr">
        <is>
          <t>OPERATING</t>
        </is>
      </c>
    </row>
    <row r="25989">
      <c r="A25989" s="8" t="inlineStr">
        <is>
          <t>2026-08-05</t>
        </is>
      </c>
      <c r="B25989" s="8" t="n">
        <v>17</v>
      </c>
      <c r="C25989" s="8" t="n">
        <v>45</v>
      </c>
      <c r="D25989" s="8" t="inlineStr">
        <is>
          <t>Disneyland Park</t>
        </is>
      </c>
      <c r="E25989" s="8" t="inlineStr">
        <is>
          <t>Buzz Lightyear Laser Blast</t>
        </is>
      </c>
      <c r="F25989" s="8" t="inlineStr">
        <is>
          <t>STANDBY</t>
        </is>
      </c>
      <c r="G25989" s="8" t="n">
        <v>50</v>
      </c>
      <c r="H25989" s="8" t="inlineStr">
        <is>
          <t>OPERATING</t>
        </is>
      </c>
    </row>
    <row r="25990">
      <c r="A25990" s="8" t="inlineStr">
        <is>
          <t>2026-08-05</t>
        </is>
      </c>
      <c r="B25990" s="8" t="n">
        <v>17</v>
      </c>
      <c r="C25990" s="8" t="n">
        <v>45</v>
      </c>
      <c r="D25990" s="8" t="inlineStr">
        <is>
          <t>Disneyland Park</t>
        </is>
      </c>
      <c r="E25990" s="8" t="inlineStr">
        <is>
          <t>Disneyland Railroad Discoveryland Station</t>
        </is>
      </c>
      <c r="F25990" s="8" t="inlineStr">
        <is>
          <t>STANDBY</t>
        </is>
      </c>
      <c r="G25990" s="8" t="n">
        <v>0</v>
      </c>
      <c r="H25990" s="8" t="inlineStr">
        <is>
          <t>CLOSED</t>
        </is>
      </c>
    </row>
    <row r="25991">
      <c r="A25991" s="8" t="inlineStr">
        <is>
          <t>2026-08-05</t>
        </is>
      </c>
      <c r="B25991" s="8" t="n">
        <v>17</v>
      </c>
      <c r="C25991" s="8" t="n">
        <v>45</v>
      </c>
      <c r="D25991" s="8" t="inlineStr">
        <is>
          <t>Disneyland Park</t>
        </is>
      </c>
      <c r="E25991" s="8" t="inlineStr">
        <is>
          <t>Les Mystères du Nautilus</t>
        </is>
      </c>
      <c r="F25991" s="8" t="inlineStr">
        <is>
          <t>STANDBY</t>
        </is>
      </c>
      <c r="G25991" s="8" t="n">
        <v>5</v>
      </c>
      <c r="H25991" s="8" t="inlineStr">
        <is>
          <t>OPERATING</t>
        </is>
      </c>
    </row>
    <row r="25992">
      <c r="A25992" s="8" t="inlineStr">
        <is>
          <t>2026-08-05</t>
        </is>
      </c>
      <c r="B25992" s="8" t="n">
        <v>17</v>
      </c>
      <c r="C25992" s="8" t="n">
        <v>45</v>
      </c>
      <c r="D25992" s="8" t="inlineStr">
        <is>
          <t>Disneyland Park</t>
        </is>
      </c>
      <c r="E25992" s="8" t="inlineStr">
        <is>
          <t>Mickey’s PhilharMagic</t>
        </is>
      </c>
      <c r="F25992" s="8" t="inlineStr">
        <is>
          <t>STANDBY</t>
        </is>
      </c>
      <c r="G25992" s="8" t="n">
        <v>0</v>
      </c>
      <c r="H25992" s="8" t="inlineStr">
        <is>
          <t>CLOSED</t>
        </is>
      </c>
    </row>
    <row r="25993">
      <c r="A25993" s="8" t="inlineStr">
        <is>
          <t>2026-08-05</t>
        </is>
      </c>
      <c r="B25993" s="8" t="n">
        <v>17</v>
      </c>
      <c r="C25993" s="8" t="n">
        <v>45</v>
      </c>
      <c r="D25993" s="8" t="inlineStr">
        <is>
          <t>Disneyland Park</t>
        </is>
      </c>
      <c r="E25993" s="8" t="inlineStr">
        <is>
          <t>Orbitron®</t>
        </is>
      </c>
      <c r="F25993" s="8" t="inlineStr">
        <is>
          <t>STANDBY</t>
        </is>
      </c>
      <c r="G25993" s="8" t="n">
        <v>45</v>
      </c>
      <c r="H25993" s="8" t="inlineStr">
        <is>
          <t>OPERATING</t>
        </is>
      </c>
    </row>
    <row r="25994">
      <c r="A25994" s="8" t="inlineStr">
        <is>
          <t>2026-08-05</t>
        </is>
      </c>
      <c r="B25994" s="8" t="n">
        <v>17</v>
      </c>
      <c r="C25994" s="8" t="n">
        <v>45</v>
      </c>
      <c r="D25994" s="8" t="inlineStr">
        <is>
          <t>Disneyland Park</t>
        </is>
      </c>
      <c r="E25994" s="8" t="inlineStr">
        <is>
          <t>Star Tours: The Adventures Continue*</t>
        </is>
      </c>
      <c r="F25994" s="8" t="inlineStr">
        <is>
          <t>STANDBY</t>
        </is>
      </c>
      <c r="G25994" s="8" t="n">
        <v>15</v>
      </c>
      <c r="H25994" s="8" t="inlineStr">
        <is>
          <t>OPERATING</t>
        </is>
      </c>
    </row>
    <row r="25995">
      <c r="A25995" s="8" t="inlineStr">
        <is>
          <t>2026-08-05</t>
        </is>
      </c>
      <c r="B25995" s="8" t="n">
        <v>17</v>
      </c>
      <c r="C25995" s="8" t="n">
        <v>45</v>
      </c>
      <c r="D25995" s="8" t="inlineStr">
        <is>
          <t>Disneyland Park</t>
        </is>
      </c>
      <c r="E25995" s="8" t="inlineStr">
        <is>
          <t>Star Wars Hyperspace Mountain</t>
        </is>
      </c>
      <c r="F25995" s="8" t="inlineStr">
        <is>
          <t>STANDBY</t>
        </is>
      </c>
      <c r="G25995" s="8" t="n">
        <v>35</v>
      </c>
      <c r="H25995" s="8" t="inlineStr">
        <is>
          <t>OPERATING</t>
        </is>
      </c>
    </row>
    <row r="25996">
      <c r="A25996" s="8" t="inlineStr">
        <is>
          <t>2026-08-05</t>
        </is>
      </c>
      <c r="B25996" s="8" t="n">
        <v>17</v>
      </c>
      <c r="C25996" s="8" t="n">
        <v>45</v>
      </c>
      <c r="D25996" s="8" t="inlineStr">
        <is>
          <t>Disneyland Park</t>
        </is>
      </c>
      <c r="E25996" s="8" t="inlineStr">
        <is>
          <t>Star Wars Hyperspace Mountain Single Rider</t>
        </is>
      </c>
      <c r="F25996" s="8" t="inlineStr">
        <is>
          <t>STANDBY</t>
        </is>
      </c>
      <c r="G25996" s="8" t="n">
        <v>25</v>
      </c>
      <c r="H25996" s="8" t="inlineStr">
        <is>
          <t>OPERATING</t>
        </is>
      </c>
    </row>
    <row r="25997">
      <c r="A25997" s="8" t="inlineStr">
        <is>
          <t>2026-08-05</t>
        </is>
      </c>
      <c r="B25997" s="8" t="n">
        <v>17</v>
      </c>
      <c r="C25997" s="8" t="n">
        <v>45</v>
      </c>
      <c r="D25997" s="8" t="inlineStr">
        <is>
          <t>Disneyland Park</t>
        </is>
      </c>
      <c r="E25997" s="8" t="inlineStr">
        <is>
          <t>Welcome to Starport: A Star Wars Encounter</t>
        </is>
      </c>
      <c r="F25997" s="8" t="inlineStr">
        <is>
          <t>STANDBY</t>
        </is>
      </c>
      <c r="G25997" s="8" t="n">
        <v>0</v>
      </c>
      <c r="H25997" s="8" t="inlineStr">
        <is>
          <t>CLOSED</t>
        </is>
      </c>
    </row>
    <row r="25998">
      <c r="A25998" s="8" t="inlineStr">
        <is>
          <t>2026-08-05</t>
        </is>
      </c>
      <c r="B25998" s="8" t="n">
        <v>17</v>
      </c>
      <c r="C25998" s="8" t="n">
        <v>45</v>
      </c>
      <c r="D25998" s="8" t="inlineStr">
        <is>
          <t>Disneyland Park</t>
        </is>
      </c>
      <c r="E25998" s="8" t="inlineStr">
        <is>
          <t>"it's a small world"</t>
        </is>
      </c>
      <c r="F25998" s="8" t="inlineStr">
        <is>
          <t>STANDBY</t>
        </is>
      </c>
      <c r="G25998" s="8" t="n">
        <v>5</v>
      </c>
      <c r="H25998" s="8" t="inlineStr">
        <is>
          <t>OPERATING</t>
        </is>
      </c>
    </row>
    <row r="25999">
      <c r="A25999" s="8" t="inlineStr">
        <is>
          <t>2026-08-05</t>
        </is>
      </c>
      <c r="B25999" s="8" t="n">
        <v>17</v>
      </c>
      <c r="C25999" s="8" t="n">
        <v>45</v>
      </c>
      <c r="D25999" s="8" t="inlineStr">
        <is>
          <t>Disneyland Park</t>
        </is>
      </c>
      <c r="E25999" s="8" t="inlineStr">
        <is>
          <t>Alice's Curious Labyrinth</t>
        </is>
      </c>
      <c r="F25999" s="8" t="inlineStr">
        <is>
          <t>STANDBY</t>
        </is>
      </c>
      <c r="G25999" s="8" t="n">
        <v>0</v>
      </c>
      <c r="H25999" s="8" t="inlineStr">
        <is>
          <t>CLOSED</t>
        </is>
      </c>
    </row>
    <row r="26000">
      <c r="A26000" s="8" t="inlineStr">
        <is>
          <t>2026-08-05</t>
        </is>
      </c>
      <c r="B26000" s="8" t="n">
        <v>17</v>
      </c>
      <c r="C26000" s="8" t="n">
        <v>45</v>
      </c>
      <c r="D26000" s="8" t="inlineStr">
        <is>
          <t>Disneyland Park</t>
        </is>
      </c>
      <c r="E26000" s="8" t="inlineStr">
        <is>
          <t>Blanche-Neige et les Sept Nains®</t>
        </is>
      </c>
      <c r="F26000" s="8" t="inlineStr">
        <is>
          <t>STANDBY</t>
        </is>
      </c>
      <c r="G26000" s="8" t="n">
        <v>30</v>
      </c>
      <c r="H26000" s="8" t="inlineStr">
        <is>
          <t>OPERATING</t>
        </is>
      </c>
    </row>
    <row r="26001">
      <c r="A26001" s="8" t="inlineStr">
        <is>
          <t>2026-08-05</t>
        </is>
      </c>
      <c r="B26001" s="8" t="n">
        <v>17</v>
      </c>
      <c r="C26001" s="8" t="n">
        <v>45</v>
      </c>
      <c r="D26001" s="8" t="inlineStr">
        <is>
          <t>Disneyland Park</t>
        </is>
      </c>
      <c r="E26001" s="8" t="inlineStr">
        <is>
          <t>Casey Jr. – le Petit Train du Cirque</t>
        </is>
      </c>
      <c r="F26001" s="8" t="inlineStr">
        <is>
          <t>STANDBY</t>
        </is>
      </c>
      <c r="G26001" s="8" t="n">
        <v>25</v>
      </c>
      <c r="H26001" s="8" t="inlineStr">
        <is>
          <t>OPERATING</t>
        </is>
      </c>
    </row>
    <row r="26002">
      <c r="A26002" s="8" t="inlineStr">
        <is>
          <t>2026-08-05</t>
        </is>
      </c>
      <c r="B26002" s="8" t="n">
        <v>17</v>
      </c>
      <c r="C26002" s="8" t="n">
        <v>45</v>
      </c>
      <c r="D26002" s="8" t="inlineStr">
        <is>
          <t>Disneyland Park</t>
        </is>
      </c>
      <c r="E26002" s="8" t="inlineStr">
        <is>
          <t>Disneyland Railroad Fantasyland Station</t>
        </is>
      </c>
      <c r="F26002" s="8" t="inlineStr">
        <is>
          <t>STANDBY</t>
        </is>
      </c>
      <c r="G26002" s="8" t="n">
        <v>0</v>
      </c>
      <c r="H26002" s="8" t="inlineStr">
        <is>
          <t>CLOSED</t>
        </is>
      </c>
    </row>
    <row r="26003">
      <c r="A26003" s="8" t="inlineStr">
        <is>
          <t>2026-08-05</t>
        </is>
      </c>
      <c r="B26003" s="8" t="n">
        <v>17</v>
      </c>
      <c r="C26003" s="8" t="n">
        <v>45</v>
      </c>
      <c r="D26003" s="8" t="inlineStr">
        <is>
          <t>Disneyland Park</t>
        </is>
      </c>
      <c r="E26003" s="8" t="inlineStr">
        <is>
          <t>Disneyland Railroad Main Street Station</t>
        </is>
      </c>
      <c r="F26003" s="8" t="inlineStr">
        <is>
          <t>STANDBY</t>
        </is>
      </c>
      <c r="G26003" s="8" t="n">
        <v>20</v>
      </c>
      <c r="H26003" s="8" t="inlineStr">
        <is>
          <t>OPERATING</t>
        </is>
      </c>
    </row>
    <row r="26004">
      <c r="A26004" s="8" t="inlineStr">
        <is>
          <t>2026-08-05</t>
        </is>
      </c>
      <c r="B26004" s="8" t="n">
        <v>17</v>
      </c>
      <c r="C26004" s="8" t="n">
        <v>45</v>
      </c>
      <c r="D26004" s="8" t="inlineStr">
        <is>
          <t>Disneyland Park</t>
        </is>
      </c>
      <c r="E26004" s="8" t="inlineStr">
        <is>
          <t>Dumbo the Flying Elephant</t>
        </is>
      </c>
      <c r="F26004" s="8" t="inlineStr">
        <is>
          <t>STANDBY</t>
        </is>
      </c>
      <c r="G26004" s="8" t="n">
        <v>35</v>
      </c>
      <c r="H26004" s="8" t="inlineStr">
        <is>
          <t>OPERATING</t>
        </is>
      </c>
    </row>
    <row r="26005">
      <c r="A26005" s="8" t="inlineStr">
        <is>
          <t>2026-08-05</t>
        </is>
      </c>
      <c r="B26005" s="8" t="n">
        <v>17</v>
      </c>
      <c r="C26005" s="8" t="n">
        <v>45</v>
      </c>
      <c r="D26005" s="8" t="inlineStr">
        <is>
          <t>Disneyland Park</t>
        </is>
      </c>
      <c r="E26005" s="8" t="inlineStr">
        <is>
          <t>La Tanière du Dragon</t>
        </is>
      </c>
      <c r="F26005" s="8" t="inlineStr">
        <is>
          <t>STANDBY</t>
        </is>
      </c>
      <c r="G26005" s="8" t="n">
        <v>0</v>
      </c>
      <c r="H26005" s="8" t="inlineStr">
        <is>
          <t>OPERATING</t>
        </is>
      </c>
    </row>
    <row r="26006">
      <c r="A26006" s="8" t="inlineStr">
        <is>
          <t>2026-08-05</t>
        </is>
      </c>
      <c r="B26006" s="8" t="n">
        <v>17</v>
      </c>
      <c r="C26006" s="8" t="n">
        <v>45</v>
      </c>
      <c r="D26006" s="8" t="inlineStr">
        <is>
          <t>Disneyland Park</t>
        </is>
      </c>
      <c r="E26006" s="8" t="inlineStr">
        <is>
          <t>Le Carrousel de Lancelot</t>
        </is>
      </c>
      <c r="F26006" s="8" t="inlineStr">
        <is>
          <t>STANDBY</t>
        </is>
      </c>
      <c r="G26006" s="8" t="n">
        <v>15</v>
      </c>
      <c r="H26006" s="8" t="inlineStr">
        <is>
          <t>OPERATING</t>
        </is>
      </c>
    </row>
    <row r="26007">
      <c r="A26007" s="8" t="inlineStr">
        <is>
          <t>2026-08-05</t>
        </is>
      </c>
      <c r="B26007" s="8" t="n">
        <v>17</v>
      </c>
      <c r="C26007" s="8" t="n">
        <v>45</v>
      </c>
      <c r="D26007" s="8" t="inlineStr">
        <is>
          <t>Disneyland Park</t>
        </is>
      </c>
      <c r="E26007" s="8" t="inlineStr">
        <is>
          <t>Le Pays des Contes de Fées, presented by Vittel</t>
        </is>
      </c>
      <c r="F26007" s="8" t="inlineStr">
        <is>
          <t>STANDBY</t>
        </is>
      </c>
      <c r="G26007" s="8" t="n">
        <v>5</v>
      </c>
      <c r="H26007" s="8" t="inlineStr">
        <is>
          <t>OPERATING</t>
        </is>
      </c>
    </row>
    <row r="26008">
      <c r="A26008" s="8" t="inlineStr">
        <is>
          <t>2026-08-05</t>
        </is>
      </c>
      <c r="B26008" s="8" t="n">
        <v>17</v>
      </c>
      <c r="C26008" s="8" t="n">
        <v>45</v>
      </c>
      <c r="D26008" s="8" t="inlineStr">
        <is>
          <t>Disneyland Park</t>
        </is>
      </c>
      <c r="E26008" s="8" t="inlineStr">
        <is>
          <t>Les Voyages de Pinocchio</t>
        </is>
      </c>
      <c r="F26008" s="8" t="inlineStr">
        <is>
          <t>STANDBY</t>
        </is>
      </c>
      <c r="G26008" s="8" t="n">
        <v>20</v>
      </c>
      <c r="H26008" s="8" t="inlineStr">
        <is>
          <t>OPERATING</t>
        </is>
      </c>
    </row>
    <row r="26009">
      <c r="A26009" s="8" t="inlineStr">
        <is>
          <t>2026-08-05</t>
        </is>
      </c>
      <c r="B26009" s="8" t="n">
        <v>17</v>
      </c>
      <c r="C26009" s="8" t="n">
        <v>45</v>
      </c>
      <c r="D26009" s="8" t="inlineStr">
        <is>
          <t>Disneyland Park</t>
        </is>
      </c>
      <c r="E26009" s="8" t="inlineStr">
        <is>
          <t>Mad Hatter's Tea Cups</t>
        </is>
      </c>
      <c r="F26009" s="8" t="inlineStr">
        <is>
          <t>STANDBY</t>
        </is>
      </c>
      <c r="G26009" s="8" t="n">
        <v>10</v>
      </c>
      <c r="H26009" s="8" t="inlineStr">
        <is>
          <t>OPERATING</t>
        </is>
      </c>
    </row>
    <row r="26010">
      <c r="A26010" s="8" t="inlineStr">
        <is>
          <t>2026-08-05</t>
        </is>
      </c>
      <c r="B26010" s="8" t="n">
        <v>17</v>
      </c>
      <c r="C26010" s="8" t="n">
        <v>45</v>
      </c>
      <c r="D26010" s="8" t="inlineStr">
        <is>
          <t>Disneyland Park</t>
        </is>
      </c>
      <c r="E26010" s="8" t="inlineStr">
        <is>
          <t>Meet Mickey Mouse</t>
        </is>
      </c>
      <c r="F26010" s="8" t="inlineStr">
        <is>
          <t>STANDBY</t>
        </is>
      </c>
      <c r="G26010" s="8" t="n">
        <v>0</v>
      </c>
      <c r="H26010" s="8" t="inlineStr">
        <is>
          <t>OPERATING</t>
        </is>
      </c>
    </row>
    <row r="26011">
      <c r="A26011" s="8" t="inlineStr">
        <is>
          <t>2026-08-05</t>
        </is>
      </c>
      <c r="B26011" s="8" t="n">
        <v>17</v>
      </c>
      <c r="C26011" s="8" t="n">
        <v>45</v>
      </c>
      <c r="D26011" s="8" t="inlineStr">
        <is>
          <t>Disneyland Park</t>
        </is>
      </c>
      <c r="E26011" s="8" t="inlineStr">
        <is>
          <t>Peter Pan's Flight</t>
        </is>
      </c>
      <c r="F26011" s="8" t="inlineStr">
        <is>
          <t>STANDBY</t>
        </is>
      </c>
      <c r="G26011" s="8" t="n">
        <v>60</v>
      </c>
      <c r="H26011" s="8" t="inlineStr">
        <is>
          <t>OPERATING</t>
        </is>
      </c>
    </row>
    <row r="26012">
      <c r="A26012" s="8" t="inlineStr">
        <is>
          <t>2026-08-05</t>
        </is>
      </c>
      <c r="B26012" s="8" t="n">
        <v>17</v>
      </c>
      <c r="C26012" s="8" t="n">
        <v>45</v>
      </c>
      <c r="D26012" s="8" t="inlineStr">
        <is>
          <t>Disneyland Park</t>
        </is>
      </c>
      <c r="E26012" s="8" t="inlineStr">
        <is>
          <t>Princess Pavilion</t>
        </is>
      </c>
      <c r="F26012" s="8" t="inlineStr">
        <is>
          <t>STANDBY</t>
        </is>
      </c>
      <c r="G26012" s="8" t="n">
        <v>0</v>
      </c>
      <c r="H26012" s="8" t="inlineStr">
        <is>
          <t>OPERATING</t>
        </is>
      </c>
    </row>
    <row r="26013">
      <c r="A26013" s="8" t="inlineStr">
        <is>
          <t>2026-08-05</t>
        </is>
      </c>
      <c r="B26013" s="8" t="n">
        <v>17</v>
      </c>
      <c r="C26013" s="8" t="n">
        <v>45</v>
      </c>
      <c r="D26013" s="8" t="inlineStr">
        <is>
          <t>Disneyland Park</t>
        </is>
      </c>
      <c r="E26013" s="8" t="inlineStr">
        <is>
          <t>Big Thunder Mountain</t>
        </is>
      </c>
      <c r="F26013" s="8" t="inlineStr">
        <is>
          <t>STANDBY</t>
        </is>
      </c>
      <c r="G26013" s="8" t="n">
        <v>60</v>
      </c>
      <c r="H26013" s="8" t="inlineStr">
        <is>
          <t>OPERATING</t>
        </is>
      </c>
    </row>
    <row r="26014">
      <c r="A26014" s="8" t="inlineStr">
        <is>
          <t>2026-08-05</t>
        </is>
      </c>
      <c r="B26014" s="8" t="n">
        <v>17</v>
      </c>
      <c r="C26014" s="8" t="n">
        <v>45</v>
      </c>
      <c r="D26014" s="8" t="inlineStr">
        <is>
          <t>Disneyland Park</t>
        </is>
      </c>
      <c r="E26014" s="8" t="inlineStr">
        <is>
          <t>Disneyland Railroad Frontierland Depot</t>
        </is>
      </c>
      <c r="F26014" s="8" t="inlineStr">
        <is>
          <t>STANDBY</t>
        </is>
      </c>
      <c r="G26014" s="8" t="n">
        <v>30</v>
      </c>
      <c r="H26014" s="8" t="inlineStr">
        <is>
          <t>OPERATING</t>
        </is>
      </c>
    </row>
    <row r="26015">
      <c r="A26015" s="8" t="inlineStr">
        <is>
          <t>2026-08-05</t>
        </is>
      </c>
      <c r="B26015" s="8" t="n">
        <v>17</v>
      </c>
      <c r="C26015" s="8" t="n">
        <v>45</v>
      </c>
      <c r="D26015" s="8" t="inlineStr">
        <is>
          <t>Disneyland Park</t>
        </is>
      </c>
      <c r="E26015" s="8" t="inlineStr">
        <is>
          <t>Frontierland Playground</t>
        </is>
      </c>
      <c r="F26015" s="8" t="inlineStr">
        <is>
          <t>STANDBY</t>
        </is>
      </c>
      <c r="G26015" s="8" t="n">
        <v>0</v>
      </c>
      <c r="H26015" s="8" t="inlineStr">
        <is>
          <t>OPERATING</t>
        </is>
      </c>
    </row>
    <row r="26016">
      <c r="A26016" s="8" t="inlineStr">
        <is>
          <t>2026-08-05</t>
        </is>
      </c>
      <c r="B26016" s="8" t="n">
        <v>17</v>
      </c>
      <c r="C26016" s="8" t="n">
        <v>45</v>
      </c>
      <c r="D26016" s="8" t="inlineStr">
        <is>
          <t>Disneyland Park</t>
        </is>
      </c>
      <c r="E26016" s="8" t="inlineStr">
        <is>
          <t>Phantom Manor</t>
        </is>
      </c>
      <c r="F26016" s="8" t="inlineStr">
        <is>
          <t>STANDBY</t>
        </is>
      </c>
      <c r="G26016" s="8" t="n">
        <v>20</v>
      </c>
      <c r="H26016" s="8" t="inlineStr">
        <is>
          <t>OPERATING</t>
        </is>
      </c>
    </row>
    <row r="26017">
      <c r="A26017" s="8" t="inlineStr">
        <is>
          <t>2026-08-05</t>
        </is>
      </c>
      <c r="B26017" s="8" t="n">
        <v>17</v>
      </c>
      <c r="C26017" s="8" t="n">
        <v>45</v>
      </c>
      <c r="D26017" s="8" t="inlineStr">
        <is>
          <t>Disneyland Park</t>
        </is>
      </c>
      <c r="E26017" s="8" t="inlineStr">
        <is>
          <t>River Rogue Keelboats</t>
        </is>
      </c>
      <c r="F26017" s="8" t="inlineStr">
        <is>
          <t>STANDBY</t>
        </is>
      </c>
      <c r="G26017" s="8" t="n">
        <v>0</v>
      </c>
      <c r="H26017" s="8" t="inlineStr">
        <is>
          <t>CLOSED</t>
        </is>
      </c>
    </row>
    <row r="26018">
      <c r="A26018" s="8" t="inlineStr">
        <is>
          <t>2026-08-05</t>
        </is>
      </c>
      <c r="B26018" s="8" t="n">
        <v>17</v>
      </c>
      <c r="C26018" s="8" t="n">
        <v>45</v>
      </c>
      <c r="D26018" s="8" t="inlineStr">
        <is>
          <t>Disneyland Park</t>
        </is>
      </c>
      <c r="E26018" s="8" t="inlineStr">
        <is>
          <t>Rustler Roundup Shootin' Gallery</t>
        </is>
      </c>
      <c r="F26018" s="8" t="inlineStr">
        <is>
          <t>STANDBY</t>
        </is>
      </c>
      <c r="G26018" s="8" t="n">
        <v>0</v>
      </c>
      <c r="H26018" s="8" t="inlineStr">
        <is>
          <t>OPERATING</t>
        </is>
      </c>
    </row>
    <row r="26019">
      <c r="A26019" s="8" t="inlineStr">
        <is>
          <t>2026-08-05</t>
        </is>
      </c>
      <c r="B26019" s="8" t="n">
        <v>17</v>
      </c>
      <c r="C26019" s="8" t="n">
        <v>45</v>
      </c>
      <c r="D26019" s="8" t="inlineStr">
        <is>
          <t>Disneyland Park</t>
        </is>
      </c>
      <c r="E26019" s="8" t="inlineStr">
        <is>
          <t>Thunder Mesa Riverboat Landing</t>
        </is>
      </c>
      <c r="F26019" s="8" t="inlineStr">
        <is>
          <t>STANDBY</t>
        </is>
      </c>
      <c r="G26019" s="8" t="n">
        <v>20</v>
      </c>
      <c r="H26019" s="8" t="inlineStr">
        <is>
          <t>OPERATING</t>
        </is>
      </c>
    </row>
    <row r="26020">
      <c r="A26020" s="8" t="inlineStr">
        <is>
          <t>2026-08-05</t>
        </is>
      </c>
      <c r="B26020" s="8" t="n">
        <v>17</v>
      </c>
      <c r="C26020" s="8" t="n">
        <v>45</v>
      </c>
      <c r="D26020" s="8" t="inlineStr">
        <is>
          <t>Disneyland Park</t>
        </is>
      </c>
      <c r="E26020" s="8" t="inlineStr">
        <is>
          <t>Disneyland Railroad Main Street Station</t>
        </is>
      </c>
      <c r="F26020" s="8" t="inlineStr">
        <is>
          <t>STANDBY</t>
        </is>
      </c>
      <c r="G26020" s="8" t="n">
        <v>0</v>
      </c>
      <c r="H26020" s="8" t="inlineStr">
        <is>
          <t>OPERATING</t>
        </is>
      </c>
    </row>
    <row r="26021">
      <c r="A26021" s="8" t="inlineStr">
        <is>
          <t>2026-08-05</t>
        </is>
      </c>
      <c r="B26021" s="8" t="n">
        <v>17</v>
      </c>
      <c r="C26021" s="8" t="n">
        <v>45</v>
      </c>
      <c r="D26021" s="8" t="inlineStr">
        <is>
          <t>Disneyland Park</t>
        </is>
      </c>
      <c r="E26021" s="8" t="inlineStr">
        <is>
          <t>Main Street Vehicles</t>
        </is>
      </c>
      <c r="F26021" s="8" t="inlineStr">
        <is>
          <t>STANDBY</t>
        </is>
      </c>
      <c r="G26021" s="8" t="n">
        <v>0</v>
      </c>
      <c r="H26021" s="8" t="inlineStr">
        <is>
          <t>CLOSED</t>
        </is>
      </c>
    </row>
    <row r="26022">
      <c r="A26022" s="8" t="inlineStr">
        <is>
          <t>2026-08-05</t>
        </is>
      </c>
      <c r="B26022" s="8" t="n">
        <v>17</v>
      </c>
      <c r="C26022" s="8" t="n">
        <v>45</v>
      </c>
      <c r="D26022" s="8" t="inlineStr">
        <is>
          <t>Disney Adventure World</t>
        </is>
      </c>
      <c r="E26022" s="8" t="inlineStr">
        <is>
          <t>Avengers Assemble: Flight Force</t>
        </is>
      </c>
      <c r="F26022" s="8" t="inlineStr">
        <is>
          <t>STANDBY</t>
        </is>
      </c>
      <c r="G26022" s="8" t="n">
        <v>25</v>
      </c>
      <c r="H26022" s="8" t="inlineStr">
        <is>
          <t>OPERATING</t>
        </is>
      </c>
    </row>
    <row r="26023">
      <c r="A26023" s="8" t="inlineStr">
        <is>
          <t>2026-08-05</t>
        </is>
      </c>
      <c r="B26023" s="8" t="n">
        <v>17</v>
      </c>
      <c r="C26023" s="8" t="n">
        <v>45</v>
      </c>
      <c r="D26023" s="8" t="inlineStr">
        <is>
          <t>Disney Adventure World</t>
        </is>
      </c>
      <c r="E26023" s="8" t="inlineStr">
        <is>
          <t>Avengers Assemble: Flight Force Single Rider</t>
        </is>
      </c>
      <c r="F26023" s="8" t="inlineStr">
        <is>
          <t>STANDBY</t>
        </is>
      </c>
      <c r="G26023" s="8" t="n">
        <v>20</v>
      </c>
      <c r="H26023" s="8" t="inlineStr">
        <is>
          <t>OPERATING</t>
        </is>
      </c>
    </row>
    <row r="26024">
      <c r="A26024" s="8" t="inlineStr">
        <is>
          <t>2026-08-05</t>
        </is>
      </c>
      <c r="B26024" s="8" t="n">
        <v>17</v>
      </c>
      <c r="C26024" s="8" t="n">
        <v>45</v>
      </c>
      <c r="D26024" s="8" t="inlineStr">
        <is>
          <t>Disney Adventure World</t>
        </is>
      </c>
      <c r="E26024" s="8" t="inlineStr">
        <is>
          <t>Spider-Man W.E.B. Adventure</t>
        </is>
      </c>
      <c r="F26024" s="8" t="inlineStr">
        <is>
          <t>STANDBY</t>
        </is>
      </c>
      <c r="G26024" s="8" t="n">
        <v>50</v>
      </c>
      <c r="H26024" s="8" t="inlineStr">
        <is>
          <t>OPERATING</t>
        </is>
      </c>
    </row>
    <row r="26025">
      <c r="A26025" s="8" t="inlineStr">
        <is>
          <t>2026-08-05</t>
        </is>
      </c>
      <c r="B26025" s="8" t="n">
        <v>17</v>
      </c>
      <c r="C26025" s="8" t="n">
        <v>45</v>
      </c>
      <c r="D26025" s="8" t="inlineStr">
        <is>
          <t>Disney Adventure World</t>
        </is>
      </c>
      <c r="E26025" s="8" t="inlineStr">
        <is>
          <t>Spider-Man W.E.B. Adventure Single Rider</t>
        </is>
      </c>
      <c r="F26025" s="8" t="inlineStr">
        <is>
          <t>STANDBY</t>
        </is>
      </c>
      <c r="G26025" s="8" t="n">
        <v>30</v>
      </c>
      <c r="H26025" s="8" t="inlineStr">
        <is>
          <t>OPERATING</t>
        </is>
      </c>
    </row>
    <row r="26026">
      <c r="A26026" s="8" t="inlineStr">
        <is>
          <t>2026-08-05</t>
        </is>
      </c>
      <c r="B26026" s="8" t="n">
        <v>17</v>
      </c>
      <c r="C26026" s="8" t="n">
        <v>45</v>
      </c>
      <c r="D26026" s="8" t="inlineStr">
        <is>
          <t>Disney Adventure World</t>
        </is>
      </c>
      <c r="E26026" s="8" t="inlineStr">
        <is>
          <t>The Twilight Zone Tower of Terror</t>
        </is>
      </c>
      <c r="F26026" s="8" t="inlineStr">
        <is>
          <t>STANDBY</t>
        </is>
      </c>
      <c r="G26026" s="8" t="n">
        <v>30</v>
      </c>
      <c r="H26026" s="8" t="inlineStr">
        <is>
          <t>OPERATING</t>
        </is>
      </c>
    </row>
    <row r="26027">
      <c r="A26027" s="8" t="inlineStr">
        <is>
          <t>2026-08-05</t>
        </is>
      </c>
      <c r="B26027" s="8" t="n">
        <v>17</v>
      </c>
      <c r="C26027" s="8" t="n">
        <v>45</v>
      </c>
      <c r="D26027" s="8" t="inlineStr">
        <is>
          <t>Disney Adventure World</t>
        </is>
      </c>
      <c r="E26027" s="8" t="inlineStr">
        <is>
          <t>Cars Quatre Roues Rallye</t>
        </is>
      </c>
      <c r="F26027" s="8" t="inlineStr">
        <is>
          <t>STANDBY</t>
        </is>
      </c>
      <c r="G26027" s="8" t="n">
        <v>15</v>
      </c>
      <c r="H26027" s="8" t="inlineStr">
        <is>
          <t>OPERATING</t>
        </is>
      </c>
    </row>
    <row r="26028">
      <c r="A26028" s="8" t="inlineStr">
        <is>
          <t>2026-08-05</t>
        </is>
      </c>
      <c r="B26028" s="8" t="n">
        <v>17</v>
      </c>
      <c r="C26028" s="8" t="n">
        <v>45</v>
      </c>
      <c r="D26028" s="8" t="inlineStr">
        <is>
          <t>Disney Adventure World</t>
        </is>
      </c>
      <c r="E26028" s="8" t="inlineStr">
        <is>
          <t>Cars ROAD TRIP</t>
        </is>
      </c>
      <c r="F26028" s="8" t="inlineStr">
        <is>
          <t>STANDBY</t>
        </is>
      </c>
      <c r="G26028" s="8" t="n">
        <v>5</v>
      </c>
      <c r="H26028" s="8" t="inlineStr">
        <is>
          <t>OPERATING</t>
        </is>
      </c>
    </row>
    <row r="26029">
      <c r="A26029" s="8" t="inlineStr">
        <is>
          <t>2026-08-05</t>
        </is>
      </c>
      <c r="B26029" s="8" t="n">
        <v>17</v>
      </c>
      <c r="C26029" s="8" t="n">
        <v>45</v>
      </c>
      <c r="D26029" s="8" t="inlineStr">
        <is>
          <t>Disney Adventure World</t>
        </is>
      </c>
      <c r="E26029" s="8" t="inlineStr">
        <is>
          <t>Crush's Coaster</t>
        </is>
      </c>
      <c r="F26029" s="8" t="inlineStr">
        <is>
          <t>STANDBY</t>
        </is>
      </c>
      <c r="G26029" s="8" t="n">
        <v>90</v>
      </c>
      <c r="H26029" s="8" t="inlineStr">
        <is>
          <t>OPERATING</t>
        </is>
      </c>
    </row>
    <row r="26030">
      <c r="A26030" s="8" t="inlineStr">
        <is>
          <t>2026-08-05</t>
        </is>
      </c>
      <c r="B26030" s="8" t="n">
        <v>17</v>
      </c>
      <c r="C26030" s="8" t="n">
        <v>45</v>
      </c>
      <c r="D26030" s="8" t="inlineStr">
        <is>
          <t>Disney Adventure World</t>
        </is>
      </c>
      <c r="E26030" s="8" t="inlineStr">
        <is>
          <t>Crush's Coaster Single Rider</t>
        </is>
      </c>
      <c r="F26030" s="8" t="inlineStr">
        <is>
          <t>STANDBY</t>
        </is>
      </c>
      <c r="G26030" s="8" t="n">
        <v>45</v>
      </c>
      <c r="H26030" s="8" t="inlineStr">
        <is>
          <t>OPERATING</t>
        </is>
      </c>
    </row>
    <row r="26031">
      <c r="A26031" s="8" t="inlineStr">
        <is>
          <t>2026-08-05</t>
        </is>
      </c>
      <c r="B26031" s="8" t="n">
        <v>17</v>
      </c>
      <c r="C26031" s="8" t="n">
        <v>45</v>
      </c>
      <c r="D26031" s="8" t="inlineStr">
        <is>
          <t>Disney Adventure World</t>
        </is>
      </c>
      <c r="E26031" s="8" t="inlineStr">
        <is>
          <t>Les Tapis Volants - Flying Carpets Over Agrabah®</t>
        </is>
      </c>
      <c r="F26031" s="8" t="inlineStr">
        <is>
          <t>STANDBY</t>
        </is>
      </c>
      <c r="G26031" s="8" t="n">
        <v>20</v>
      </c>
      <c r="H26031" s="8" t="inlineStr">
        <is>
          <t>OPERATING</t>
        </is>
      </c>
    </row>
    <row r="26032">
      <c r="A26032" s="8" t="inlineStr">
        <is>
          <t>2026-08-05</t>
        </is>
      </c>
      <c r="B26032" s="8" t="n">
        <v>17</v>
      </c>
      <c r="C26032" s="8" t="n">
        <v>45</v>
      </c>
      <c r="D26032" s="8" t="inlineStr">
        <is>
          <t>Disney Adventure World</t>
        </is>
      </c>
      <c r="E26032" s="8" t="inlineStr">
        <is>
          <t>Ratatouille : L’Aventure Totalement Toquée de Rémy​</t>
        </is>
      </c>
      <c r="F26032" s="8" t="inlineStr">
        <is>
          <t>STANDBY</t>
        </is>
      </c>
      <c r="G26032" s="8" t="n">
        <v>80</v>
      </c>
      <c r="H26032" s="8" t="inlineStr">
        <is>
          <t>OPERATING</t>
        </is>
      </c>
    </row>
    <row r="26033">
      <c r="A26033" s="8" t="inlineStr">
        <is>
          <t>2026-08-05</t>
        </is>
      </c>
      <c r="B26033" s="8" t="n">
        <v>17</v>
      </c>
      <c r="C26033" s="8" t="n">
        <v>45</v>
      </c>
      <c r="D26033" s="8" t="inlineStr">
        <is>
          <t>Disney Adventure World</t>
        </is>
      </c>
      <c r="E26033" s="8" t="inlineStr">
        <is>
          <t>Ratatouille: The Adventure Single Rider</t>
        </is>
      </c>
      <c r="F26033" s="8" t="inlineStr">
        <is>
          <t>STANDBY</t>
        </is>
      </c>
      <c r="G26033" s="8" t="n">
        <v>10</v>
      </c>
      <c r="H26033" s="8" t="inlineStr">
        <is>
          <t>OPERATING</t>
        </is>
      </c>
    </row>
    <row r="26034">
      <c r="A26034" s="8" t="inlineStr">
        <is>
          <t>2026-08-05</t>
        </is>
      </c>
      <c r="B26034" s="8" t="n">
        <v>17</v>
      </c>
      <c r="C26034" s="8" t="n">
        <v>45</v>
      </c>
      <c r="D26034" s="8" t="inlineStr">
        <is>
          <t>Disney Adventure World</t>
        </is>
      </c>
      <c r="E26034" s="8" t="inlineStr">
        <is>
          <t>RC Racer</t>
        </is>
      </c>
      <c r="F26034" s="8" t="inlineStr">
        <is>
          <t>STANDBY</t>
        </is>
      </c>
      <c r="G26034" s="8" t="n">
        <v>50</v>
      </c>
      <c r="H26034" s="8" t="inlineStr">
        <is>
          <t>OPERATING</t>
        </is>
      </c>
    </row>
    <row r="26035">
      <c r="A26035" s="8" t="inlineStr">
        <is>
          <t>2026-08-05</t>
        </is>
      </c>
      <c r="B26035" s="8" t="n">
        <v>17</v>
      </c>
      <c r="C26035" s="8" t="n">
        <v>45</v>
      </c>
      <c r="D26035" s="8" t="inlineStr">
        <is>
          <t>Disney Adventure World</t>
        </is>
      </c>
      <c r="E26035" s="8" t="inlineStr">
        <is>
          <t>RC Racer Single Rider</t>
        </is>
      </c>
      <c r="F26035" s="8" t="inlineStr">
        <is>
          <t>STANDBY</t>
        </is>
      </c>
      <c r="G26035" s="8" t="n">
        <v>45</v>
      </c>
      <c r="H26035" s="8" t="inlineStr">
        <is>
          <t>OPERATING</t>
        </is>
      </c>
    </row>
    <row r="26036">
      <c r="A26036" s="8" t="inlineStr">
        <is>
          <t>2026-08-05</t>
        </is>
      </c>
      <c r="B26036" s="8" t="n">
        <v>17</v>
      </c>
      <c r="C26036" s="8" t="n">
        <v>45</v>
      </c>
      <c r="D26036" s="8" t="inlineStr">
        <is>
          <t>Disney Adventure World</t>
        </is>
      </c>
      <c r="E26036" s="8" t="inlineStr">
        <is>
          <t>Slinky® Dog Zigzag Spin</t>
        </is>
      </c>
      <c r="F26036" s="8" t="inlineStr">
        <is>
          <t>STANDBY</t>
        </is>
      </c>
      <c r="G26036" s="8" t="n">
        <v>15</v>
      </c>
      <c r="H26036" s="8" t="inlineStr">
        <is>
          <t>OPERATING</t>
        </is>
      </c>
    </row>
    <row r="26037">
      <c r="A26037" s="8" t="inlineStr">
        <is>
          <t>2026-08-05</t>
        </is>
      </c>
      <c r="B26037" s="8" t="n">
        <v>17</v>
      </c>
      <c r="C26037" s="8" t="n">
        <v>45</v>
      </c>
      <c r="D26037" s="8" t="inlineStr">
        <is>
          <t>Disney Adventure World</t>
        </is>
      </c>
      <c r="E26037" s="8" t="inlineStr">
        <is>
          <t>Toy Soldiers Parachute Drop</t>
        </is>
      </c>
      <c r="F26037" s="8" t="inlineStr">
        <is>
          <t>STANDBY</t>
        </is>
      </c>
      <c r="G26037" s="8" t="n">
        <v>45</v>
      </c>
      <c r="H26037" s="8" t="inlineStr">
        <is>
          <t>OPERATING</t>
        </is>
      </c>
    </row>
    <row r="26038">
      <c r="A26038" s="8" t="inlineStr">
        <is>
          <t>2026-08-05</t>
        </is>
      </c>
      <c r="B26038" s="8" t="n">
        <v>17</v>
      </c>
      <c r="C26038" s="8" t="n">
        <v>45</v>
      </c>
      <c r="D26038" s="8" t="inlineStr">
        <is>
          <t>Disney Adventure World</t>
        </is>
      </c>
      <c r="E26038" s="8" t="inlineStr">
        <is>
          <t>Toy Soldiers Parachute Drop Single Rider</t>
        </is>
      </c>
      <c r="F26038" s="8" t="inlineStr">
        <is>
          <t>STANDBY</t>
        </is>
      </c>
      <c r="G26038" s="8" t="n">
        <v>30</v>
      </c>
      <c r="H26038" s="8" t="inlineStr">
        <is>
          <t>OPERATING</t>
        </is>
      </c>
    </row>
    <row r="26039">
      <c r="A26039" s="8" t="inlineStr">
        <is>
          <t>2026-08-05</t>
        </is>
      </c>
      <c r="B26039" s="8" t="n">
        <v>17</v>
      </c>
      <c r="C26039" s="8" t="n">
        <v>45</v>
      </c>
      <c r="D26039" s="8" t="inlineStr">
        <is>
          <t>Disney Adventure World</t>
        </is>
      </c>
      <c r="E26039" s="8" t="inlineStr">
        <is>
          <t>Entry to World of Frozen</t>
        </is>
      </c>
      <c r="F26039" s="8" t="inlineStr">
        <is>
          <t>STANDBY</t>
        </is>
      </c>
      <c r="G26039" s="8" t="n">
        <v>0</v>
      </c>
      <c r="H26039" s="8" t="inlineStr">
        <is>
          <t>OPERATING</t>
        </is>
      </c>
    </row>
    <row r="26040">
      <c r="A26040" s="8" t="inlineStr">
        <is>
          <t>2026-08-05</t>
        </is>
      </c>
      <c r="B26040" s="8" t="n">
        <v>17</v>
      </c>
      <c r="C26040" s="8" t="n">
        <v>45</v>
      </c>
      <c r="D26040" s="8" t="inlineStr">
        <is>
          <t>Disney Adventure World</t>
        </is>
      </c>
      <c r="E26040" s="8" t="inlineStr">
        <is>
          <t>Frozen Ever After</t>
        </is>
      </c>
      <c r="F26040" s="8" t="inlineStr">
        <is>
          <t>STANDBY</t>
        </is>
      </c>
      <c r="G26040" s="8" t="n">
        <v>35</v>
      </c>
      <c r="H26040" s="8" t="inlineStr">
        <is>
          <t>OPERATING</t>
        </is>
      </c>
    </row>
    <row r="26041">
      <c r="A26041" s="8" t="inlineStr">
        <is>
          <t>2026-08-05</t>
        </is>
      </c>
      <c r="B26041" s="8" t="n">
        <v>17</v>
      </c>
      <c r="C26041" s="8" t="n">
        <v>45</v>
      </c>
      <c r="D26041" s="8" t="inlineStr">
        <is>
          <t>Disney Adventure World</t>
        </is>
      </c>
      <c r="E26041" s="8" t="inlineStr">
        <is>
          <t>Raiponce Tangled Spin</t>
        </is>
      </c>
      <c r="F26041" s="8" t="inlineStr">
        <is>
          <t>STANDBY</t>
        </is>
      </c>
      <c r="G26041" s="8" t="n">
        <v>10</v>
      </c>
      <c r="H26041" s="8" t="inlineStr">
        <is>
          <t>OPERATING</t>
        </is>
      </c>
    </row>
    <row r="26042">
      <c r="A26042" s="8" t="inlineStr">
        <is>
          <t>2026-08-05</t>
        </is>
      </c>
      <c r="B26042" s="8" t="n">
        <v>18</v>
      </c>
      <c r="C26042" s="8" t="n">
        <v>1</v>
      </c>
      <c r="D26042" s="8" t="inlineStr">
        <is>
          <t>Disneyland Park</t>
        </is>
      </c>
      <c r="E26042" s="8" t="inlineStr">
        <is>
          <t>Adventure Isle</t>
        </is>
      </c>
      <c r="F26042" s="8" t="inlineStr">
        <is>
          <t>STANDBY</t>
        </is>
      </c>
      <c r="G26042" s="8" t="n">
        <v>0</v>
      </c>
      <c r="H26042" s="8" t="inlineStr">
        <is>
          <t>OPERATING</t>
        </is>
      </c>
    </row>
    <row r="26043">
      <c r="A26043" s="8" t="inlineStr">
        <is>
          <t>2026-08-05</t>
        </is>
      </c>
      <c r="B26043" s="8" t="n">
        <v>18</v>
      </c>
      <c r="C26043" s="8" t="n">
        <v>1</v>
      </c>
      <c r="D26043" s="8" t="inlineStr">
        <is>
          <t>Disneyland Park</t>
        </is>
      </c>
      <c r="E26043" s="8" t="inlineStr">
        <is>
          <t>Indiana Jones and the Temple of Peril Single Rider</t>
        </is>
      </c>
      <c r="F26043" s="8" t="inlineStr">
        <is>
          <t>STANDBY</t>
        </is>
      </c>
      <c r="G26043" s="8" t="n">
        <v>10</v>
      </c>
      <c r="H26043" s="8" t="inlineStr">
        <is>
          <t>OPERATING</t>
        </is>
      </c>
    </row>
    <row r="26044">
      <c r="A26044" s="8" t="inlineStr">
        <is>
          <t>2026-08-05</t>
        </is>
      </c>
      <c r="B26044" s="8" t="n">
        <v>18</v>
      </c>
      <c r="C26044" s="8" t="n">
        <v>1</v>
      </c>
      <c r="D26044" s="8" t="inlineStr">
        <is>
          <t>Disneyland Park</t>
        </is>
      </c>
      <c r="E26044" s="8" t="inlineStr">
        <is>
          <t>Indiana Jones™ and the Temple of Peril</t>
        </is>
      </c>
      <c r="F26044" s="8" t="inlineStr">
        <is>
          <t>STANDBY</t>
        </is>
      </c>
      <c r="G26044" s="8" t="n">
        <v>25</v>
      </c>
      <c r="H26044" s="8" t="inlineStr">
        <is>
          <t>OPERATING</t>
        </is>
      </c>
    </row>
    <row r="26045">
      <c r="A26045" s="8" t="inlineStr">
        <is>
          <t>2026-08-05</t>
        </is>
      </c>
      <c r="B26045" s="8" t="n">
        <v>18</v>
      </c>
      <c r="C26045" s="8" t="n">
        <v>1</v>
      </c>
      <c r="D26045" s="8" t="inlineStr">
        <is>
          <t>Disneyland Park</t>
        </is>
      </c>
      <c r="E26045" s="8" t="inlineStr">
        <is>
          <t>La Cabane des Robinson</t>
        </is>
      </c>
      <c r="F26045" s="8" t="inlineStr">
        <is>
          <t>STANDBY</t>
        </is>
      </c>
      <c r="G26045" s="8" t="n">
        <v>5</v>
      </c>
      <c r="H26045" s="8" t="inlineStr">
        <is>
          <t>OPERATING</t>
        </is>
      </c>
    </row>
    <row r="26046">
      <c r="A26046" s="8" t="inlineStr">
        <is>
          <t>2026-08-05</t>
        </is>
      </c>
      <c r="B26046" s="8" t="n">
        <v>18</v>
      </c>
      <c r="C26046" s="8" t="n">
        <v>1</v>
      </c>
      <c r="D26046" s="8" t="inlineStr">
        <is>
          <t>Disneyland Park</t>
        </is>
      </c>
      <c r="E26046" s="8" t="inlineStr">
        <is>
          <t>Le Passage Enchanté d'Aladdin</t>
        </is>
      </c>
      <c r="F26046" s="8" t="inlineStr">
        <is>
          <t>STANDBY</t>
        </is>
      </c>
      <c r="G26046" s="8" t="n">
        <v>0</v>
      </c>
      <c r="H26046" s="8" t="inlineStr">
        <is>
          <t>OPERATING</t>
        </is>
      </c>
    </row>
    <row r="26047">
      <c r="A26047" s="8" t="inlineStr">
        <is>
          <t>2026-08-05</t>
        </is>
      </c>
      <c r="B26047" s="8" t="n">
        <v>18</v>
      </c>
      <c r="C26047" s="8" t="n">
        <v>1</v>
      </c>
      <c r="D26047" s="8" t="inlineStr">
        <is>
          <t>Disneyland Park</t>
        </is>
      </c>
      <c r="E26047" s="8" t="inlineStr">
        <is>
          <t>Pirate Galleon</t>
        </is>
      </c>
      <c r="F26047" s="8" t="inlineStr">
        <is>
          <t>STANDBY</t>
        </is>
      </c>
      <c r="G26047" s="8" t="n">
        <v>0</v>
      </c>
      <c r="H26047" s="8" t="inlineStr">
        <is>
          <t>CLOSED</t>
        </is>
      </c>
    </row>
    <row r="26048">
      <c r="A26048" s="8" t="inlineStr">
        <is>
          <t>2026-08-05</t>
        </is>
      </c>
      <c r="B26048" s="8" t="n">
        <v>18</v>
      </c>
      <c r="C26048" s="8" t="n">
        <v>1</v>
      </c>
      <c r="D26048" s="8" t="inlineStr">
        <is>
          <t>Disneyland Park</t>
        </is>
      </c>
      <c r="E26048" s="8" t="inlineStr">
        <is>
          <t>Pirates of the Caribbean</t>
        </is>
      </c>
      <c r="F26048" s="8" t="inlineStr">
        <is>
          <t>STANDBY</t>
        </is>
      </c>
      <c r="G26048" s="8" t="n">
        <v>15</v>
      </c>
      <c r="H26048" s="8" t="inlineStr">
        <is>
          <t>OPERATING</t>
        </is>
      </c>
    </row>
    <row r="26049">
      <c r="A26049" s="8" t="inlineStr">
        <is>
          <t>2026-08-05</t>
        </is>
      </c>
      <c r="B26049" s="8" t="n">
        <v>18</v>
      </c>
      <c r="C26049" s="8" t="n">
        <v>1</v>
      </c>
      <c r="D26049" s="8" t="inlineStr">
        <is>
          <t>Disneyland Park</t>
        </is>
      </c>
      <c r="E26049" s="8" t="inlineStr">
        <is>
          <t>Pirates' Beach</t>
        </is>
      </c>
      <c r="F26049" s="8" t="inlineStr">
        <is>
          <t>STANDBY</t>
        </is>
      </c>
      <c r="G26049" s="8" t="n">
        <v>0</v>
      </c>
      <c r="H26049" s="8" t="inlineStr">
        <is>
          <t>OPERATING</t>
        </is>
      </c>
    </row>
    <row r="26050">
      <c r="A26050" s="8" t="inlineStr">
        <is>
          <t>2026-08-05</t>
        </is>
      </c>
      <c r="B26050" s="8" t="n">
        <v>18</v>
      </c>
      <c r="C26050" s="8" t="n">
        <v>1</v>
      </c>
      <c r="D26050" s="8" t="inlineStr">
        <is>
          <t>Disneyland Park</t>
        </is>
      </c>
      <c r="E26050" s="8" t="inlineStr">
        <is>
          <t>Autopia, presented by Avis</t>
        </is>
      </c>
      <c r="F26050" s="8" t="inlineStr">
        <is>
          <t>STANDBY</t>
        </is>
      </c>
      <c r="G26050" s="8" t="n">
        <v>40</v>
      </c>
      <c r="H26050" s="8" t="inlineStr">
        <is>
          <t>OPERATING</t>
        </is>
      </c>
    </row>
    <row r="26051">
      <c r="A26051" s="8" t="inlineStr">
        <is>
          <t>2026-08-05</t>
        </is>
      </c>
      <c r="B26051" s="8" t="n">
        <v>18</v>
      </c>
      <c r="C26051" s="8" t="n">
        <v>1</v>
      </c>
      <c r="D26051" s="8" t="inlineStr">
        <is>
          <t>Disneyland Park</t>
        </is>
      </c>
      <c r="E26051" s="8" t="inlineStr">
        <is>
          <t>Buzz Lightyear Laser Blast</t>
        </is>
      </c>
      <c r="F26051" s="8" t="inlineStr">
        <is>
          <t>STANDBY</t>
        </is>
      </c>
      <c r="G26051" s="8" t="n">
        <v>40</v>
      </c>
      <c r="H26051" s="8" t="inlineStr">
        <is>
          <t>OPERATING</t>
        </is>
      </c>
    </row>
    <row r="26052">
      <c r="A26052" s="8" t="inlineStr">
        <is>
          <t>2026-08-05</t>
        </is>
      </c>
      <c r="B26052" s="8" t="n">
        <v>18</v>
      </c>
      <c r="C26052" s="8" t="n">
        <v>1</v>
      </c>
      <c r="D26052" s="8" t="inlineStr">
        <is>
          <t>Disneyland Park</t>
        </is>
      </c>
      <c r="E26052" s="8" t="inlineStr">
        <is>
          <t>Disneyland Railroad Discoveryland Station</t>
        </is>
      </c>
      <c r="F26052" s="8" t="inlineStr">
        <is>
          <t>STANDBY</t>
        </is>
      </c>
      <c r="G26052" s="8" t="n">
        <v>0</v>
      </c>
      <c r="H26052" s="8" t="inlineStr">
        <is>
          <t>CLOSED</t>
        </is>
      </c>
    </row>
    <row r="26053">
      <c r="A26053" s="8" t="inlineStr">
        <is>
          <t>2026-08-05</t>
        </is>
      </c>
      <c r="B26053" s="8" t="n">
        <v>18</v>
      </c>
      <c r="C26053" s="8" t="n">
        <v>1</v>
      </c>
      <c r="D26053" s="8" t="inlineStr">
        <is>
          <t>Disneyland Park</t>
        </is>
      </c>
      <c r="E26053" s="8" t="inlineStr">
        <is>
          <t>Les Mystères du Nautilus</t>
        </is>
      </c>
      <c r="F26053" s="8" t="inlineStr">
        <is>
          <t>STANDBY</t>
        </is>
      </c>
      <c r="G26053" s="8" t="n">
        <v>5</v>
      </c>
      <c r="H26053" s="8" t="inlineStr">
        <is>
          <t>OPERATING</t>
        </is>
      </c>
    </row>
    <row r="26054">
      <c r="A26054" s="8" t="inlineStr">
        <is>
          <t>2026-08-05</t>
        </is>
      </c>
      <c r="B26054" s="8" t="n">
        <v>18</v>
      </c>
      <c r="C26054" s="8" t="n">
        <v>1</v>
      </c>
      <c r="D26054" s="8" t="inlineStr">
        <is>
          <t>Disneyland Park</t>
        </is>
      </c>
      <c r="E26054" s="8" t="inlineStr">
        <is>
          <t>Mickey’s PhilharMagic</t>
        </is>
      </c>
      <c r="F26054" s="8" t="inlineStr">
        <is>
          <t>STANDBY</t>
        </is>
      </c>
      <c r="G26054" s="8" t="n">
        <v>0</v>
      </c>
      <c r="H26054" s="8" t="inlineStr">
        <is>
          <t>CLOSED</t>
        </is>
      </c>
    </row>
    <row r="26055">
      <c r="A26055" s="8" t="inlineStr">
        <is>
          <t>2026-08-05</t>
        </is>
      </c>
      <c r="B26055" s="8" t="n">
        <v>18</v>
      </c>
      <c r="C26055" s="8" t="n">
        <v>1</v>
      </c>
      <c r="D26055" s="8" t="inlineStr">
        <is>
          <t>Disneyland Park</t>
        </is>
      </c>
      <c r="E26055" s="8" t="inlineStr">
        <is>
          <t>Orbitron®</t>
        </is>
      </c>
      <c r="F26055" s="8" t="inlineStr">
        <is>
          <t>STANDBY</t>
        </is>
      </c>
      <c r="G26055" s="8" t="n">
        <v>45</v>
      </c>
      <c r="H26055" s="8" t="inlineStr">
        <is>
          <t>OPERATING</t>
        </is>
      </c>
    </row>
    <row r="26056">
      <c r="A26056" s="8" t="inlineStr">
        <is>
          <t>2026-08-05</t>
        </is>
      </c>
      <c r="B26056" s="8" t="n">
        <v>18</v>
      </c>
      <c r="C26056" s="8" t="n">
        <v>1</v>
      </c>
      <c r="D26056" s="8" t="inlineStr">
        <is>
          <t>Disneyland Park</t>
        </is>
      </c>
      <c r="E26056" s="8" t="inlineStr">
        <is>
          <t>Star Tours: The Adventures Continue*</t>
        </is>
      </c>
      <c r="F26056" s="8" t="inlineStr">
        <is>
          <t>STANDBY</t>
        </is>
      </c>
      <c r="G26056" s="8" t="n">
        <v>5</v>
      </c>
      <c r="H26056" s="8" t="inlineStr">
        <is>
          <t>OPERATING</t>
        </is>
      </c>
    </row>
    <row r="26057">
      <c r="A26057" s="8" t="inlineStr">
        <is>
          <t>2026-08-05</t>
        </is>
      </c>
      <c r="B26057" s="8" t="n">
        <v>18</v>
      </c>
      <c r="C26057" s="8" t="n">
        <v>1</v>
      </c>
      <c r="D26057" s="8" t="inlineStr">
        <is>
          <t>Disneyland Park</t>
        </is>
      </c>
      <c r="E26057" s="8" t="inlineStr">
        <is>
          <t>Star Wars Hyperspace Mountain</t>
        </is>
      </c>
      <c r="F26057" s="8" t="inlineStr">
        <is>
          <t>STANDBY</t>
        </is>
      </c>
      <c r="G26057" s="8" t="n">
        <v>30</v>
      </c>
      <c r="H26057" s="8" t="inlineStr">
        <is>
          <t>OPERATING</t>
        </is>
      </c>
    </row>
    <row r="26058">
      <c r="A26058" s="8" t="inlineStr">
        <is>
          <t>2026-08-05</t>
        </is>
      </c>
      <c r="B26058" s="8" t="n">
        <v>18</v>
      </c>
      <c r="C26058" s="8" t="n">
        <v>1</v>
      </c>
      <c r="D26058" s="8" t="inlineStr">
        <is>
          <t>Disneyland Park</t>
        </is>
      </c>
      <c r="E26058" s="8" t="inlineStr">
        <is>
          <t>Star Wars Hyperspace Mountain Single Rider</t>
        </is>
      </c>
      <c r="F26058" s="8" t="inlineStr">
        <is>
          <t>STANDBY</t>
        </is>
      </c>
      <c r="G26058" s="8" t="n">
        <v>25</v>
      </c>
      <c r="H26058" s="8" t="inlineStr">
        <is>
          <t>OPERATING</t>
        </is>
      </c>
    </row>
    <row r="26059">
      <c r="A26059" s="8" t="inlineStr">
        <is>
          <t>2026-08-05</t>
        </is>
      </c>
      <c r="B26059" s="8" t="n">
        <v>18</v>
      </c>
      <c r="C26059" s="8" t="n">
        <v>1</v>
      </c>
      <c r="D26059" s="8" t="inlineStr">
        <is>
          <t>Disneyland Park</t>
        </is>
      </c>
      <c r="E26059" s="8" t="inlineStr">
        <is>
          <t>Welcome to Starport: A Star Wars Encounter</t>
        </is>
      </c>
      <c r="F26059" s="8" t="inlineStr">
        <is>
          <t>STANDBY</t>
        </is>
      </c>
      <c r="G26059" s="8" t="n">
        <v>0</v>
      </c>
      <c r="H26059" s="8" t="inlineStr">
        <is>
          <t>CLOSED</t>
        </is>
      </c>
    </row>
    <row r="26060">
      <c r="A26060" s="8" t="inlineStr">
        <is>
          <t>2026-08-05</t>
        </is>
      </c>
      <c r="B26060" s="8" t="n">
        <v>18</v>
      </c>
      <c r="C26060" s="8" t="n">
        <v>1</v>
      </c>
      <c r="D26060" s="8" t="inlineStr">
        <is>
          <t>Disneyland Park</t>
        </is>
      </c>
      <c r="E26060" s="8" t="inlineStr">
        <is>
          <t>"it's a small world"</t>
        </is>
      </c>
      <c r="F26060" s="8" t="inlineStr">
        <is>
          <t>STANDBY</t>
        </is>
      </c>
      <c r="G26060" s="8" t="n">
        <v>5</v>
      </c>
      <c r="H26060" s="8" t="inlineStr">
        <is>
          <t>OPERATING</t>
        </is>
      </c>
    </row>
    <row r="26061">
      <c r="A26061" s="8" t="inlineStr">
        <is>
          <t>2026-08-05</t>
        </is>
      </c>
      <c r="B26061" s="8" t="n">
        <v>18</v>
      </c>
      <c r="C26061" s="8" t="n">
        <v>1</v>
      </c>
      <c r="D26061" s="8" t="inlineStr">
        <is>
          <t>Disneyland Park</t>
        </is>
      </c>
      <c r="E26061" s="8" t="inlineStr">
        <is>
          <t>Alice's Curious Labyrinth</t>
        </is>
      </c>
      <c r="F26061" s="8" t="inlineStr">
        <is>
          <t>STANDBY</t>
        </is>
      </c>
      <c r="G26061" s="8" t="n">
        <v>0</v>
      </c>
      <c r="H26061" s="8" t="inlineStr">
        <is>
          <t>CLOSED</t>
        </is>
      </c>
    </row>
    <row r="26062">
      <c r="A26062" s="8" t="inlineStr">
        <is>
          <t>2026-08-05</t>
        </is>
      </c>
      <c r="B26062" s="8" t="n">
        <v>18</v>
      </c>
      <c r="C26062" s="8" t="n">
        <v>1</v>
      </c>
      <c r="D26062" s="8" t="inlineStr">
        <is>
          <t>Disneyland Park</t>
        </is>
      </c>
      <c r="E26062" s="8" t="inlineStr">
        <is>
          <t>Blanche-Neige et les Sept Nains®</t>
        </is>
      </c>
      <c r="F26062" s="8" t="inlineStr">
        <is>
          <t>STANDBY</t>
        </is>
      </c>
      <c r="G26062" s="8" t="n">
        <v>30</v>
      </c>
      <c r="H26062" s="8" t="inlineStr">
        <is>
          <t>OPERATING</t>
        </is>
      </c>
    </row>
    <row r="26063">
      <c r="A26063" s="8" t="inlineStr">
        <is>
          <t>2026-08-05</t>
        </is>
      </c>
      <c r="B26063" s="8" t="n">
        <v>18</v>
      </c>
      <c r="C26063" s="8" t="n">
        <v>1</v>
      </c>
      <c r="D26063" s="8" t="inlineStr">
        <is>
          <t>Disneyland Park</t>
        </is>
      </c>
      <c r="E26063" s="8" t="inlineStr">
        <is>
          <t>Casey Jr. – le Petit Train du Cirque</t>
        </is>
      </c>
      <c r="F26063" s="8" t="inlineStr">
        <is>
          <t>STANDBY</t>
        </is>
      </c>
      <c r="G26063" s="8" t="n">
        <v>25</v>
      </c>
      <c r="H26063" s="8" t="inlineStr">
        <is>
          <t>OPERATING</t>
        </is>
      </c>
    </row>
    <row r="26064">
      <c r="A26064" s="8" t="inlineStr">
        <is>
          <t>2026-08-05</t>
        </is>
      </c>
      <c r="B26064" s="8" t="n">
        <v>18</v>
      </c>
      <c r="C26064" s="8" t="n">
        <v>1</v>
      </c>
      <c r="D26064" s="8" t="inlineStr">
        <is>
          <t>Disneyland Park</t>
        </is>
      </c>
      <c r="E26064" s="8" t="inlineStr">
        <is>
          <t>Disneyland Railroad Fantasyland Station</t>
        </is>
      </c>
      <c r="F26064" s="8" t="inlineStr">
        <is>
          <t>STANDBY</t>
        </is>
      </c>
      <c r="G26064" s="8" t="n">
        <v>0</v>
      </c>
      <c r="H26064" s="8" t="inlineStr">
        <is>
          <t>CLOSED</t>
        </is>
      </c>
    </row>
    <row r="26065">
      <c r="A26065" s="8" t="inlineStr">
        <is>
          <t>2026-08-05</t>
        </is>
      </c>
      <c r="B26065" s="8" t="n">
        <v>18</v>
      </c>
      <c r="C26065" s="8" t="n">
        <v>1</v>
      </c>
      <c r="D26065" s="8" t="inlineStr">
        <is>
          <t>Disneyland Park</t>
        </is>
      </c>
      <c r="E26065" s="8" t="inlineStr">
        <is>
          <t>Disneyland Railroad Main Street Station</t>
        </is>
      </c>
      <c r="F26065" s="8" t="inlineStr">
        <is>
          <t>STANDBY</t>
        </is>
      </c>
      <c r="G26065" s="8" t="n">
        <v>20</v>
      </c>
      <c r="H26065" s="8" t="inlineStr">
        <is>
          <t>OPERATING</t>
        </is>
      </c>
    </row>
    <row r="26066">
      <c r="A26066" s="8" t="inlineStr">
        <is>
          <t>2026-08-05</t>
        </is>
      </c>
      <c r="B26066" s="8" t="n">
        <v>18</v>
      </c>
      <c r="C26066" s="8" t="n">
        <v>1</v>
      </c>
      <c r="D26066" s="8" t="inlineStr">
        <is>
          <t>Disneyland Park</t>
        </is>
      </c>
      <c r="E26066" s="8" t="inlineStr">
        <is>
          <t>Dumbo the Flying Elephant</t>
        </is>
      </c>
      <c r="F26066" s="8" t="inlineStr">
        <is>
          <t>STANDBY</t>
        </is>
      </c>
      <c r="G26066" s="8" t="n">
        <v>35</v>
      </c>
      <c r="H26066" s="8" t="inlineStr">
        <is>
          <t>OPERATING</t>
        </is>
      </c>
    </row>
    <row r="26067">
      <c r="A26067" s="8" t="inlineStr">
        <is>
          <t>2026-08-05</t>
        </is>
      </c>
      <c r="B26067" s="8" t="n">
        <v>18</v>
      </c>
      <c r="C26067" s="8" t="n">
        <v>1</v>
      </c>
      <c r="D26067" s="8" t="inlineStr">
        <is>
          <t>Disneyland Park</t>
        </is>
      </c>
      <c r="E26067" s="8" t="inlineStr">
        <is>
          <t>La Tanière du Dragon</t>
        </is>
      </c>
      <c r="F26067" s="8" t="inlineStr">
        <is>
          <t>STANDBY</t>
        </is>
      </c>
      <c r="G26067" s="8" t="n">
        <v>0</v>
      </c>
      <c r="H26067" s="8" t="inlineStr">
        <is>
          <t>OPERATING</t>
        </is>
      </c>
    </row>
    <row r="26068">
      <c r="A26068" s="8" t="inlineStr">
        <is>
          <t>2026-08-05</t>
        </is>
      </c>
      <c r="B26068" s="8" t="n">
        <v>18</v>
      </c>
      <c r="C26068" s="8" t="n">
        <v>1</v>
      </c>
      <c r="D26068" s="8" t="inlineStr">
        <is>
          <t>Disneyland Park</t>
        </is>
      </c>
      <c r="E26068" s="8" t="inlineStr">
        <is>
          <t>Le Carrousel de Lancelot</t>
        </is>
      </c>
      <c r="F26068" s="8" t="inlineStr">
        <is>
          <t>STANDBY</t>
        </is>
      </c>
      <c r="G26068" s="8" t="n">
        <v>10</v>
      </c>
      <c r="H26068" s="8" t="inlineStr">
        <is>
          <t>OPERATING</t>
        </is>
      </c>
    </row>
    <row r="26069">
      <c r="A26069" s="8" t="inlineStr">
        <is>
          <t>2026-08-05</t>
        </is>
      </c>
      <c r="B26069" s="8" t="n">
        <v>18</v>
      </c>
      <c r="C26069" s="8" t="n">
        <v>1</v>
      </c>
      <c r="D26069" s="8" t="inlineStr">
        <is>
          <t>Disneyland Park</t>
        </is>
      </c>
      <c r="E26069" s="8" t="inlineStr">
        <is>
          <t>Le Pays des Contes de Fées, presented by Vittel</t>
        </is>
      </c>
      <c r="F26069" s="8" t="inlineStr">
        <is>
          <t>STANDBY</t>
        </is>
      </c>
      <c r="G26069" s="8" t="n">
        <v>5</v>
      </c>
      <c r="H26069" s="8" t="inlineStr">
        <is>
          <t>OPERATING</t>
        </is>
      </c>
    </row>
    <row r="26070">
      <c r="A26070" s="8" t="inlineStr">
        <is>
          <t>2026-08-05</t>
        </is>
      </c>
      <c r="B26070" s="8" t="n">
        <v>18</v>
      </c>
      <c r="C26070" s="8" t="n">
        <v>1</v>
      </c>
      <c r="D26070" s="8" t="inlineStr">
        <is>
          <t>Disneyland Park</t>
        </is>
      </c>
      <c r="E26070" s="8" t="inlineStr">
        <is>
          <t>Les Voyages de Pinocchio</t>
        </is>
      </c>
      <c r="F26070" s="8" t="inlineStr">
        <is>
          <t>STANDBY</t>
        </is>
      </c>
      <c r="G26070" s="8" t="n">
        <v>20</v>
      </c>
      <c r="H26070" s="8" t="inlineStr">
        <is>
          <t>OPERATING</t>
        </is>
      </c>
    </row>
    <row r="26071">
      <c r="A26071" s="8" t="inlineStr">
        <is>
          <t>2026-08-05</t>
        </is>
      </c>
      <c r="B26071" s="8" t="n">
        <v>18</v>
      </c>
      <c r="C26071" s="8" t="n">
        <v>1</v>
      </c>
      <c r="D26071" s="8" t="inlineStr">
        <is>
          <t>Disneyland Park</t>
        </is>
      </c>
      <c r="E26071" s="8" t="inlineStr">
        <is>
          <t>Mad Hatter's Tea Cups</t>
        </is>
      </c>
      <c r="F26071" s="8" t="inlineStr">
        <is>
          <t>STANDBY</t>
        </is>
      </c>
      <c r="G26071" s="8" t="n">
        <v>10</v>
      </c>
      <c r="H26071" s="8" t="inlineStr">
        <is>
          <t>OPERATING</t>
        </is>
      </c>
    </row>
    <row r="26072">
      <c r="A26072" s="8" t="inlineStr">
        <is>
          <t>2026-08-05</t>
        </is>
      </c>
      <c r="B26072" s="8" t="n">
        <v>18</v>
      </c>
      <c r="C26072" s="8" t="n">
        <v>1</v>
      </c>
      <c r="D26072" s="8" t="inlineStr">
        <is>
          <t>Disneyland Park</t>
        </is>
      </c>
      <c r="E26072" s="8" t="inlineStr">
        <is>
          <t>Meet Mickey Mouse</t>
        </is>
      </c>
      <c r="F26072" s="8" t="inlineStr">
        <is>
          <t>STANDBY</t>
        </is>
      </c>
      <c r="G26072" s="8" t="n">
        <v>0</v>
      </c>
      <c r="H26072" s="8" t="inlineStr">
        <is>
          <t>OPERATING</t>
        </is>
      </c>
    </row>
    <row r="26073">
      <c r="A26073" s="8" t="inlineStr">
        <is>
          <t>2026-08-05</t>
        </is>
      </c>
      <c r="B26073" s="8" t="n">
        <v>18</v>
      </c>
      <c r="C26073" s="8" t="n">
        <v>1</v>
      </c>
      <c r="D26073" s="8" t="inlineStr">
        <is>
          <t>Disneyland Park</t>
        </is>
      </c>
      <c r="E26073" s="8" t="inlineStr">
        <is>
          <t>Peter Pan's Flight</t>
        </is>
      </c>
      <c r="F26073" s="8" t="inlineStr">
        <is>
          <t>STANDBY</t>
        </is>
      </c>
      <c r="G26073" s="8" t="n">
        <v>60</v>
      </c>
      <c r="H26073" s="8" t="inlineStr">
        <is>
          <t>OPERATING</t>
        </is>
      </c>
    </row>
    <row r="26074">
      <c r="A26074" s="8" t="inlineStr">
        <is>
          <t>2026-08-05</t>
        </is>
      </c>
      <c r="B26074" s="8" t="n">
        <v>18</v>
      </c>
      <c r="C26074" s="8" t="n">
        <v>1</v>
      </c>
      <c r="D26074" s="8" t="inlineStr">
        <is>
          <t>Disneyland Park</t>
        </is>
      </c>
      <c r="E26074" s="8" t="inlineStr">
        <is>
          <t>Princess Pavilion</t>
        </is>
      </c>
      <c r="F26074" s="8" t="inlineStr">
        <is>
          <t>STANDBY</t>
        </is>
      </c>
      <c r="G26074" s="8" t="n">
        <v>0</v>
      </c>
      <c r="H26074" s="8" t="inlineStr">
        <is>
          <t>OPERATING</t>
        </is>
      </c>
    </row>
    <row r="26075">
      <c r="A26075" s="8" t="inlineStr">
        <is>
          <t>2026-08-05</t>
        </is>
      </c>
      <c r="B26075" s="8" t="n">
        <v>18</v>
      </c>
      <c r="C26075" s="8" t="n">
        <v>1</v>
      </c>
      <c r="D26075" s="8" t="inlineStr">
        <is>
          <t>Disneyland Park</t>
        </is>
      </c>
      <c r="E26075" s="8" t="inlineStr">
        <is>
          <t>Big Thunder Mountain</t>
        </is>
      </c>
      <c r="F26075" s="8" t="inlineStr">
        <is>
          <t>STANDBY</t>
        </is>
      </c>
      <c r="G26075" s="8" t="n">
        <v>65</v>
      </c>
      <c r="H26075" s="8" t="inlineStr">
        <is>
          <t>OPERATING</t>
        </is>
      </c>
    </row>
    <row r="26076">
      <c r="A26076" s="8" t="inlineStr">
        <is>
          <t>2026-08-05</t>
        </is>
      </c>
      <c r="B26076" s="8" t="n">
        <v>18</v>
      </c>
      <c r="C26076" s="8" t="n">
        <v>1</v>
      </c>
      <c r="D26076" s="8" t="inlineStr">
        <is>
          <t>Disneyland Park</t>
        </is>
      </c>
      <c r="E26076" s="8" t="inlineStr">
        <is>
          <t>Disneyland Railroad Frontierland Depot</t>
        </is>
      </c>
      <c r="F26076" s="8" t="inlineStr">
        <is>
          <t>STANDBY</t>
        </is>
      </c>
      <c r="G26076" s="8" t="n">
        <v>30</v>
      </c>
      <c r="H26076" s="8" t="inlineStr">
        <is>
          <t>OPERATING</t>
        </is>
      </c>
    </row>
    <row r="26077">
      <c r="A26077" s="8" t="inlineStr">
        <is>
          <t>2026-08-05</t>
        </is>
      </c>
      <c r="B26077" s="8" t="n">
        <v>18</v>
      </c>
      <c r="C26077" s="8" t="n">
        <v>1</v>
      </c>
      <c r="D26077" s="8" t="inlineStr">
        <is>
          <t>Disneyland Park</t>
        </is>
      </c>
      <c r="E26077" s="8" t="inlineStr">
        <is>
          <t>Frontierland Playground</t>
        </is>
      </c>
      <c r="F26077" s="8" t="inlineStr">
        <is>
          <t>STANDBY</t>
        </is>
      </c>
      <c r="G26077" s="8" t="n">
        <v>0</v>
      </c>
      <c r="H26077" s="8" t="inlineStr">
        <is>
          <t>OPERATING</t>
        </is>
      </c>
    </row>
    <row r="26078">
      <c r="A26078" s="8" t="inlineStr">
        <is>
          <t>2026-08-05</t>
        </is>
      </c>
      <c r="B26078" s="8" t="n">
        <v>18</v>
      </c>
      <c r="C26078" s="8" t="n">
        <v>1</v>
      </c>
      <c r="D26078" s="8" t="inlineStr">
        <is>
          <t>Disneyland Park</t>
        </is>
      </c>
      <c r="E26078" s="8" t="inlineStr">
        <is>
          <t>Phantom Manor</t>
        </is>
      </c>
      <c r="F26078" s="8" t="inlineStr">
        <is>
          <t>STANDBY</t>
        </is>
      </c>
      <c r="G26078" s="8" t="n">
        <v>15</v>
      </c>
      <c r="H26078" s="8" t="inlineStr">
        <is>
          <t>OPERATING</t>
        </is>
      </c>
    </row>
    <row r="26079">
      <c r="A26079" s="8" t="inlineStr">
        <is>
          <t>2026-08-05</t>
        </is>
      </c>
      <c r="B26079" s="8" t="n">
        <v>18</v>
      </c>
      <c r="C26079" s="8" t="n">
        <v>1</v>
      </c>
      <c r="D26079" s="8" t="inlineStr">
        <is>
          <t>Disneyland Park</t>
        </is>
      </c>
      <c r="E26079" s="8" t="inlineStr">
        <is>
          <t>River Rogue Keelboats</t>
        </is>
      </c>
      <c r="F26079" s="8" t="inlineStr">
        <is>
          <t>STANDBY</t>
        </is>
      </c>
      <c r="G26079" s="8" t="n">
        <v>0</v>
      </c>
      <c r="H26079" s="8" t="inlineStr">
        <is>
          <t>CLOSED</t>
        </is>
      </c>
    </row>
    <row r="26080">
      <c r="A26080" s="8" t="inlineStr">
        <is>
          <t>2026-08-05</t>
        </is>
      </c>
      <c r="B26080" s="8" t="n">
        <v>18</v>
      </c>
      <c r="C26080" s="8" t="n">
        <v>1</v>
      </c>
      <c r="D26080" s="8" t="inlineStr">
        <is>
          <t>Disneyland Park</t>
        </is>
      </c>
      <c r="E26080" s="8" t="inlineStr">
        <is>
          <t>Rustler Roundup Shootin' Gallery</t>
        </is>
      </c>
      <c r="F26080" s="8" t="inlineStr">
        <is>
          <t>STANDBY</t>
        </is>
      </c>
      <c r="G26080" s="8" t="n">
        <v>0</v>
      </c>
      <c r="H26080" s="8" t="inlineStr">
        <is>
          <t>OPERATING</t>
        </is>
      </c>
    </row>
    <row r="26081">
      <c r="A26081" s="8" t="inlineStr">
        <is>
          <t>2026-08-05</t>
        </is>
      </c>
      <c r="B26081" s="8" t="n">
        <v>18</v>
      </c>
      <c r="C26081" s="8" t="n">
        <v>1</v>
      </c>
      <c r="D26081" s="8" t="inlineStr">
        <is>
          <t>Disneyland Park</t>
        </is>
      </c>
      <c r="E26081" s="8" t="inlineStr">
        <is>
          <t>Thunder Mesa Riverboat Landing</t>
        </is>
      </c>
      <c r="F26081" s="8" t="inlineStr">
        <is>
          <t>STANDBY</t>
        </is>
      </c>
      <c r="G26081" s="8" t="n">
        <v>20</v>
      </c>
      <c r="H26081" s="8" t="inlineStr">
        <is>
          <t>OPERATING</t>
        </is>
      </c>
    </row>
    <row r="26082">
      <c r="A26082" s="8" t="inlineStr">
        <is>
          <t>2026-08-05</t>
        </is>
      </c>
      <c r="B26082" s="8" t="n">
        <v>18</v>
      </c>
      <c r="C26082" s="8" t="n">
        <v>1</v>
      </c>
      <c r="D26082" s="8" t="inlineStr">
        <is>
          <t>Disneyland Park</t>
        </is>
      </c>
      <c r="E26082" s="8" t="inlineStr">
        <is>
          <t>Disneyland Railroad Main Street Station</t>
        </is>
      </c>
      <c r="F26082" s="8" t="inlineStr">
        <is>
          <t>STANDBY</t>
        </is>
      </c>
      <c r="G26082" s="8" t="n">
        <v>0</v>
      </c>
      <c r="H26082" s="8" t="inlineStr">
        <is>
          <t>OPERATING</t>
        </is>
      </c>
    </row>
    <row r="26083">
      <c r="A26083" s="8" t="inlineStr">
        <is>
          <t>2026-08-05</t>
        </is>
      </c>
      <c r="B26083" s="8" t="n">
        <v>18</v>
      </c>
      <c r="C26083" s="8" t="n">
        <v>1</v>
      </c>
      <c r="D26083" s="8" t="inlineStr">
        <is>
          <t>Disneyland Park</t>
        </is>
      </c>
      <c r="E26083" s="8" t="inlineStr">
        <is>
          <t>Main Street Vehicles</t>
        </is>
      </c>
      <c r="F26083" s="8" t="inlineStr">
        <is>
          <t>STANDBY</t>
        </is>
      </c>
      <c r="G26083" s="8" t="n">
        <v>0</v>
      </c>
      <c r="H26083" s="8" t="inlineStr">
        <is>
          <t>CLOSED</t>
        </is>
      </c>
    </row>
    <row r="26084">
      <c r="A26084" s="8" t="inlineStr">
        <is>
          <t>2026-08-05</t>
        </is>
      </c>
      <c r="B26084" s="8" t="n">
        <v>18</v>
      </c>
      <c r="C26084" s="8" t="n">
        <v>1</v>
      </c>
      <c r="D26084" s="8" t="inlineStr">
        <is>
          <t>Disney Adventure World</t>
        </is>
      </c>
      <c r="E26084" s="8" t="inlineStr">
        <is>
          <t>Avengers Assemble: Flight Force</t>
        </is>
      </c>
      <c r="F26084" s="8" t="inlineStr">
        <is>
          <t>STANDBY</t>
        </is>
      </c>
      <c r="G26084" s="8" t="n">
        <v>25</v>
      </c>
      <c r="H26084" s="8" t="inlineStr">
        <is>
          <t>OPERATING</t>
        </is>
      </c>
    </row>
    <row r="26085">
      <c r="A26085" s="8" t="inlineStr">
        <is>
          <t>2026-08-05</t>
        </is>
      </c>
      <c r="B26085" s="8" t="n">
        <v>18</v>
      </c>
      <c r="C26085" s="8" t="n">
        <v>1</v>
      </c>
      <c r="D26085" s="8" t="inlineStr">
        <is>
          <t>Disney Adventure World</t>
        </is>
      </c>
      <c r="E26085" s="8" t="inlineStr">
        <is>
          <t>Avengers Assemble: Flight Force Single Rider</t>
        </is>
      </c>
      <c r="F26085" s="8" t="inlineStr">
        <is>
          <t>STANDBY</t>
        </is>
      </c>
      <c r="G26085" s="8" t="n">
        <v>15</v>
      </c>
      <c r="H26085" s="8" t="inlineStr">
        <is>
          <t>OPERATING</t>
        </is>
      </c>
    </row>
    <row r="26086">
      <c r="A26086" s="8" t="inlineStr">
        <is>
          <t>2026-08-05</t>
        </is>
      </c>
      <c r="B26086" s="8" t="n">
        <v>18</v>
      </c>
      <c r="C26086" s="8" t="n">
        <v>1</v>
      </c>
      <c r="D26086" s="8" t="inlineStr">
        <is>
          <t>Disney Adventure World</t>
        </is>
      </c>
      <c r="E26086" s="8" t="inlineStr">
        <is>
          <t>Spider-Man W.E.B. Adventure</t>
        </is>
      </c>
      <c r="F26086" s="8" t="inlineStr">
        <is>
          <t>STANDBY</t>
        </is>
      </c>
      <c r="G26086" s="8" t="n">
        <v>55</v>
      </c>
      <c r="H26086" s="8" t="inlineStr">
        <is>
          <t>OPERATING</t>
        </is>
      </c>
    </row>
    <row r="26087">
      <c r="A26087" s="8" t="inlineStr">
        <is>
          <t>2026-08-05</t>
        </is>
      </c>
      <c r="B26087" s="8" t="n">
        <v>18</v>
      </c>
      <c r="C26087" s="8" t="n">
        <v>1</v>
      </c>
      <c r="D26087" s="8" t="inlineStr">
        <is>
          <t>Disney Adventure World</t>
        </is>
      </c>
      <c r="E26087" s="8" t="inlineStr">
        <is>
          <t>Spider-Man W.E.B. Adventure Single Rider</t>
        </is>
      </c>
      <c r="F26087" s="8" t="inlineStr">
        <is>
          <t>STANDBY</t>
        </is>
      </c>
      <c r="G26087" s="8" t="n">
        <v>20</v>
      </c>
      <c r="H26087" s="8" t="inlineStr">
        <is>
          <t>OPERATING</t>
        </is>
      </c>
    </row>
    <row r="26088">
      <c r="A26088" s="8" t="inlineStr">
        <is>
          <t>2026-08-05</t>
        </is>
      </c>
      <c r="B26088" s="8" t="n">
        <v>18</v>
      </c>
      <c r="C26088" s="8" t="n">
        <v>1</v>
      </c>
      <c r="D26088" s="8" t="inlineStr">
        <is>
          <t>Disney Adventure World</t>
        </is>
      </c>
      <c r="E26088" s="8" t="inlineStr">
        <is>
          <t>The Twilight Zone Tower of Terror</t>
        </is>
      </c>
      <c r="F26088" s="8" t="inlineStr">
        <is>
          <t>STANDBY</t>
        </is>
      </c>
      <c r="G26088" s="8" t="n">
        <v>25</v>
      </c>
      <c r="H26088" s="8" t="inlineStr">
        <is>
          <t>OPERATING</t>
        </is>
      </c>
    </row>
    <row r="26089">
      <c r="A26089" s="8" t="inlineStr">
        <is>
          <t>2026-08-05</t>
        </is>
      </c>
      <c r="B26089" s="8" t="n">
        <v>18</v>
      </c>
      <c r="C26089" s="8" t="n">
        <v>1</v>
      </c>
      <c r="D26089" s="8" t="inlineStr">
        <is>
          <t>Disney Adventure World</t>
        </is>
      </c>
      <c r="E26089" s="8" t="inlineStr">
        <is>
          <t>Cars Quatre Roues Rallye</t>
        </is>
      </c>
      <c r="F26089" s="8" t="inlineStr">
        <is>
          <t>STANDBY</t>
        </is>
      </c>
      <c r="G26089" s="8" t="n">
        <v>10</v>
      </c>
      <c r="H26089" s="8" t="inlineStr">
        <is>
          <t>OPERATING</t>
        </is>
      </c>
    </row>
    <row r="26090">
      <c r="A26090" s="8" t="inlineStr">
        <is>
          <t>2026-08-05</t>
        </is>
      </c>
      <c r="B26090" s="8" t="n">
        <v>18</v>
      </c>
      <c r="C26090" s="8" t="n">
        <v>1</v>
      </c>
      <c r="D26090" s="8" t="inlineStr">
        <is>
          <t>Disney Adventure World</t>
        </is>
      </c>
      <c r="E26090" s="8" t="inlineStr">
        <is>
          <t>Cars ROAD TRIP</t>
        </is>
      </c>
      <c r="F26090" s="8" t="inlineStr">
        <is>
          <t>STANDBY</t>
        </is>
      </c>
      <c r="G26090" s="8" t="n">
        <v>5</v>
      </c>
      <c r="H26090" s="8" t="inlineStr">
        <is>
          <t>OPERATING</t>
        </is>
      </c>
    </row>
    <row r="26091">
      <c r="A26091" s="8" t="inlineStr">
        <is>
          <t>2026-08-05</t>
        </is>
      </c>
      <c r="B26091" s="8" t="n">
        <v>18</v>
      </c>
      <c r="C26091" s="8" t="n">
        <v>1</v>
      </c>
      <c r="D26091" s="8" t="inlineStr">
        <is>
          <t>Disney Adventure World</t>
        </is>
      </c>
      <c r="E26091" s="8" t="inlineStr">
        <is>
          <t>Crush's Coaster</t>
        </is>
      </c>
      <c r="F26091" s="8" t="inlineStr">
        <is>
          <t>STANDBY</t>
        </is>
      </c>
      <c r="G26091" s="8" t="n">
        <v>75</v>
      </c>
      <c r="H26091" s="8" t="inlineStr">
        <is>
          <t>OPERATING</t>
        </is>
      </c>
    </row>
    <row r="26092">
      <c r="A26092" s="8" t="inlineStr">
        <is>
          <t>2026-08-05</t>
        </is>
      </c>
      <c r="B26092" s="8" t="n">
        <v>18</v>
      </c>
      <c r="C26092" s="8" t="n">
        <v>1</v>
      </c>
      <c r="D26092" s="8" t="inlineStr">
        <is>
          <t>Disney Adventure World</t>
        </is>
      </c>
      <c r="E26092" s="8" t="inlineStr">
        <is>
          <t>Crush's Coaster Single Rider</t>
        </is>
      </c>
      <c r="F26092" s="8" t="inlineStr">
        <is>
          <t>STANDBY</t>
        </is>
      </c>
      <c r="G26092" s="8" t="n">
        <v>50</v>
      </c>
      <c r="H26092" s="8" t="inlineStr">
        <is>
          <t>OPERATING</t>
        </is>
      </c>
    </row>
    <row r="26093">
      <c r="A26093" s="8" t="inlineStr">
        <is>
          <t>2026-08-05</t>
        </is>
      </c>
      <c r="B26093" s="8" t="n">
        <v>18</v>
      </c>
      <c r="C26093" s="8" t="n">
        <v>1</v>
      </c>
      <c r="D26093" s="8" t="inlineStr">
        <is>
          <t>Disney Adventure World</t>
        </is>
      </c>
      <c r="E26093" s="8" t="inlineStr">
        <is>
          <t>Les Tapis Volants - Flying Carpets Over Agrabah®</t>
        </is>
      </c>
      <c r="F26093" s="8" t="inlineStr">
        <is>
          <t>STANDBY</t>
        </is>
      </c>
      <c r="G26093" s="8" t="n">
        <v>20</v>
      </c>
      <c r="H26093" s="8" t="inlineStr">
        <is>
          <t>OPERATING</t>
        </is>
      </c>
    </row>
    <row r="26094">
      <c r="A26094" s="8" t="inlineStr">
        <is>
          <t>2026-08-05</t>
        </is>
      </c>
      <c r="B26094" s="8" t="n">
        <v>18</v>
      </c>
      <c r="C26094" s="8" t="n">
        <v>1</v>
      </c>
      <c r="D26094" s="8" t="inlineStr">
        <is>
          <t>Disney Adventure World</t>
        </is>
      </c>
      <c r="E26094" s="8" t="inlineStr">
        <is>
          <t>Ratatouille : L’Aventure Totalement Toquée de Rémy​</t>
        </is>
      </c>
      <c r="F26094" s="8" t="inlineStr">
        <is>
          <t>STANDBY</t>
        </is>
      </c>
      <c r="G26094" s="8" t="n">
        <v>60</v>
      </c>
      <c r="H26094" s="8" t="inlineStr">
        <is>
          <t>OPERATING</t>
        </is>
      </c>
    </row>
    <row r="26095">
      <c r="A26095" s="8" t="inlineStr">
        <is>
          <t>2026-08-05</t>
        </is>
      </c>
      <c r="B26095" s="8" t="n">
        <v>18</v>
      </c>
      <c r="C26095" s="8" t="n">
        <v>1</v>
      </c>
      <c r="D26095" s="8" t="inlineStr">
        <is>
          <t>Disney Adventure World</t>
        </is>
      </c>
      <c r="E26095" s="8" t="inlineStr">
        <is>
          <t>Ratatouille: The Adventure Single Rider</t>
        </is>
      </c>
      <c r="F26095" s="8" t="inlineStr">
        <is>
          <t>STANDBY</t>
        </is>
      </c>
      <c r="G26095" s="8" t="n">
        <v>30</v>
      </c>
      <c r="H26095" s="8" t="inlineStr">
        <is>
          <t>OPERATING</t>
        </is>
      </c>
    </row>
    <row r="26096">
      <c r="A26096" s="8" t="inlineStr">
        <is>
          <t>2026-08-05</t>
        </is>
      </c>
      <c r="B26096" s="8" t="n">
        <v>18</v>
      </c>
      <c r="C26096" s="8" t="n">
        <v>1</v>
      </c>
      <c r="D26096" s="8" t="inlineStr">
        <is>
          <t>Disney Adventure World</t>
        </is>
      </c>
      <c r="E26096" s="8" t="inlineStr">
        <is>
          <t>RC Racer</t>
        </is>
      </c>
      <c r="F26096" s="8" t="inlineStr">
        <is>
          <t>STANDBY</t>
        </is>
      </c>
      <c r="G26096" s="8" t="n">
        <v>45</v>
      </c>
      <c r="H26096" s="8" t="inlineStr">
        <is>
          <t>OPERATING</t>
        </is>
      </c>
    </row>
    <row r="26097">
      <c r="A26097" s="8" t="inlineStr">
        <is>
          <t>2026-08-05</t>
        </is>
      </c>
      <c r="B26097" s="8" t="n">
        <v>18</v>
      </c>
      <c r="C26097" s="8" t="n">
        <v>1</v>
      </c>
      <c r="D26097" s="8" t="inlineStr">
        <is>
          <t>Disney Adventure World</t>
        </is>
      </c>
      <c r="E26097" s="8" t="inlineStr">
        <is>
          <t>RC Racer Single Rider</t>
        </is>
      </c>
      <c r="F26097" s="8" t="inlineStr">
        <is>
          <t>STANDBY</t>
        </is>
      </c>
      <c r="G26097" s="8" t="n">
        <v>40</v>
      </c>
      <c r="H26097" s="8" t="inlineStr">
        <is>
          <t>OPERATING</t>
        </is>
      </c>
    </row>
    <row r="26098">
      <c r="A26098" s="8" t="inlineStr">
        <is>
          <t>2026-08-05</t>
        </is>
      </c>
      <c r="B26098" s="8" t="n">
        <v>18</v>
      </c>
      <c r="C26098" s="8" t="n">
        <v>1</v>
      </c>
      <c r="D26098" s="8" t="inlineStr">
        <is>
          <t>Disney Adventure World</t>
        </is>
      </c>
      <c r="E26098" s="8" t="inlineStr">
        <is>
          <t>Slinky® Dog Zigzag Spin</t>
        </is>
      </c>
      <c r="F26098" s="8" t="inlineStr">
        <is>
          <t>STANDBY</t>
        </is>
      </c>
      <c r="G26098" s="8" t="n">
        <v>20</v>
      </c>
      <c r="H26098" s="8" t="inlineStr">
        <is>
          <t>OPERATING</t>
        </is>
      </c>
    </row>
    <row r="26099">
      <c r="A26099" s="8" t="inlineStr">
        <is>
          <t>2026-08-05</t>
        </is>
      </c>
      <c r="B26099" s="8" t="n">
        <v>18</v>
      </c>
      <c r="C26099" s="8" t="n">
        <v>1</v>
      </c>
      <c r="D26099" s="8" t="inlineStr">
        <is>
          <t>Disney Adventure World</t>
        </is>
      </c>
      <c r="E26099" s="8" t="inlineStr">
        <is>
          <t>Toy Soldiers Parachute Drop</t>
        </is>
      </c>
      <c r="F26099" s="8" t="inlineStr">
        <is>
          <t>STANDBY</t>
        </is>
      </c>
      <c r="G26099" s="8" t="n">
        <v>45</v>
      </c>
      <c r="H26099" s="8" t="inlineStr">
        <is>
          <t>OPERATING</t>
        </is>
      </c>
    </row>
    <row r="26100">
      <c r="A26100" s="8" t="inlineStr">
        <is>
          <t>2026-08-05</t>
        </is>
      </c>
      <c r="B26100" s="8" t="n">
        <v>18</v>
      </c>
      <c r="C26100" s="8" t="n">
        <v>1</v>
      </c>
      <c r="D26100" s="8" t="inlineStr">
        <is>
          <t>Disney Adventure World</t>
        </is>
      </c>
      <c r="E26100" s="8" t="inlineStr">
        <is>
          <t>Toy Soldiers Parachute Drop Single Rider</t>
        </is>
      </c>
      <c r="F26100" s="8" t="inlineStr">
        <is>
          <t>STANDBY</t>
        </is>
      </c>
      <c r="G26100" s="8" t="n">
        <v>30</v>
      </c>
      <c r="H26100" s="8" t="inlineStr">
        <is>
          <t>OPERATING</t>
        </is>
      </c>
    </row>
    <row r="26101">
      <c r="A26101" s="8" t="inlineStr">
        <is>
          <t>2026-08-05</t>
        </is>
      </c>
      <c r="B26101" s="8" t="n">
        <v>18</v>
      </c>
      <c r="C26101" s="8" t="n">
        <v>1</v>
      </c>
      <c r="D26101" s="8" t="inlineStr">
        <is>
          <t>Disney Adventure World</t>
        </is>
      </c>
      <c r="E26101" s="8" t="inlineStr">
        <is>
          <t>Entry to World of Frozen</t>
        </is>
      </c>
      <c r="F26101" s="8" t="inlineStr">
        <is>
          <t>STANDBY</t>
        </is>
      </c>
      <c r="G26101" s="8" t="n">
        <v>0</v>
      </c>
      <c r="H26101" s="8" t="inlineStr">
        <is>
          <t>OPERATING</t>
        </is>
      </c>
    </row>
    <row r="26102">
      <c r="A26102" s="8" t="inlineStr">
        <is>
          <t>2026-08-05</t>
        </is>
      </c>
      <c r="B26102" s="8" t="n">
        <v>18</v>
      </c>
      <c r="C26102" s="8" t="n">
        <v>1</v>
      </c>
      <c r="D26102" s="8" t="inlineStr">
        <is>
          <t>Disney Adventure World</t>
        </is>
      </c>
      <c r="E26102" s="8" t="inlineStr">
        <is>
          <t>Frozen Ever After</t>
        </is>
      </c>
      <c r="F26102" s="8" t="inlineStr">
        <is>
          <t>STANDBY</t>
        </is>
      </c>
      <c r="G26102" s="8" t="n">
        <v>55</v>
      </c>
      <c r="H26102" s="8" t="inlineStr">
        <is>
          <t>OPERATING</t>
        </is>
      </c>
    </row>
    <row r="26103">
      <c r="A26103" s="8" t="inlineStr">
        <is>
          <t>2026-08-05</t>
        </is>
      </c>
      <c r="B26103" s="8" t="n">
        <v>18</v>
      </c>
      <c r="C26103" s="8" t="n">
        <v>1</v>
      </c>
      <c r="D26103" s="8" t="inlineStr">
        <is>
          <t>Disney Adventure World</t>
        </is>
      </c>
      <c r="E26103" s="8" t="inlineStr">
        <is>
          <t>Raiponce Tangled Spin</t>
        </is>
      </c>
      <c r="F26103" s="8" t="inlineStr">
        <is>
          <t>STANDBY</t>
        </is>
      </c>
      <c r="G26103" s="8" t="n">
        <v>0</v>
      </c>
      <c r="H26103" s="8" t="inlineStr">
        <is>
          <t>CLOSED</t>
        </is>
      </c>
    </row>
  </sheetData>
  <autoFilter ref="A1:H2610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IFERROR(ROUND(AVERAGEIFS(Datos!$G$2:$G$26103,Datos!$E$2:$E$26103,$A5,Datos!$B$2:$B$26103,8,Datos!$C$2:$C$26103,"&lt;30",Datos!$F$2:$F$26103,"STANDBY"),0),"")</f>
        <v/>
      </c>
      <c r="C5" s="7">
        <f>IFERROR(ROUND(AVERAGEIFS(Datos!$G$2:$G$26103,Datos!$E$2:$E$26103,$A5,Datos!$B$2:$B$26103,8,Datos!$C$2:$C$26103,"&gt;=30",Datos!$F$2:$F$26103,"STANDBY"),0),"")</f>
        <v/>
      </c>
      <c r="D5" s="7">
        <f>IFERROR(ROUND(AVERAGEIFS(Datos!$G$2:$G$26103,Datos!$E$2:$E$26103,$A5,Datos!$B$2:$B$26103,9,Datos!$C$2:$C$26103,"&lt;30",Datos!$F$2:$F$26103,"STANDBY"),0),"")</f>
        <v/>
      </c>
      <c r="E5" s="7">
        <f>IFERROR(ROUND(AVERAGEIFS(Datos!$G$2:$G$26103,Datos!$E$2:$E$26103,$A5,Datos!$B$2:$B$26103,9,Datos!$C$2:$C$26103,"&gt;=30",Datos!$F$2:$F$26103,"STANDBY"),0),"")</f>
        <v/>
      </c>
      <c r="F5" s="7">
        <f>IFERROR(ROUND(AVERAGEIFS(Datos!$G$2:$G$26103,Datos!$E$2:$E$26103,$A5,Datos!$B$2:$B$26103,10,Datos!$C$2:$C$26103,"&lt;30",Datos!$F$2:$F$26103,"STANDBY"),0),"")</f>
        <v/>
      </c>
      <c r="G5" s="7">
        <f>IFERROR(ROUND(AVERAGEIFS(Datos!$G$2:$G$26103,Datos!$E$2:$E$26103,$A5,Datos!$B$2:$B$26103,10,Datos!$C$2:$C$26103,"&gt;=30",Datos!$F$2:$F$26103,"STANDBY"),0),"")</f>
        <v/>
      </c>
      <c r="H5" s="7">
        <f>IFERROR(ROUND(AVERAGEIFS(Datos!$G$2:$G$26103,Datos!$E$2:$E$26103,$A5,Datos!$B$2:$B$26103,11,Datos!$C$2:$C$26103,"&lt;30",Datos!$F$2:$F$26103,"STANDBY"),0),"")</f>
        <v/>
      </c>
      <c r="I5" s="7">
        <f>IFERROR(ROUND(AVERAGEIFS(Datos!$G$2:$G$26103,Datos!$E$2:$E$26103,$A5,Datos!$B$2:$B$26103,11,Datos!$C$2:$C$26103,"&gt;=30",Datos!$F$2:$F$26103,"STANDBY"),0),"")</f>
        <v/>
      </c>
      <c r="J5" s="7">
        <f>IFERROR(ROUND(AVERAGEIFS(Datos!$G$2:$G$26103,Datos!$E$2:$E$26103,$A5,Datos!$B$2:$B$26103,12,Datos!$C$2:$C$26103,"&lt;30",Datos!$F$2:$F$26103,"STANDBY"),0),"")</f>
        <v/>
      </c>
      <c r="K5" s="7">
        <f>IFERROR(ROUND(AVERAGEIFS(Datos!$G$2:$G$26103,Datos!$E$2:$E$26103,$A5,Datos!$B$2:$B$26103,12,Datos!$C$2:$C$26103,"&gt;=30",Datos!$F$2:$F$26103,"STANDBY"),0),"")</f>
        <v/>
      </c>
      <c r="L5" s="7">
        <f>IFERROR(ROUND(AVERAGEIFS(Datos!$G$2:$G$26103,Datos!$E$2:$E$26103,$A5,Datos!$B$2:$B$26103,13,Datos!$C$2:$C$26103,"&lt;30",Datos!$F$2:$F$26103,"STANDBY"),0),"")</f>
        <v/>
      </c>
      <c r="M5" s="7">
        <f>IFERROR(ROUND(AVERAGEIFS(Datos!$G$2:$G$26103,Datos!$E$2:$E$26103,$A5,Datos!$B$2:$B$26103,13,Datos!$C$2:$C$26103,"&gt;=30",Datos!$F$2:$F$26103,"STANDBY"),0),"")</f>
        <v/>
      </c>
      <c r="N5" s="7">
        <f>IFERROR(ROUND(AVERAGEIFS(Datos!$G$2:$G$26103,Datos!$E$2:$E$26103,$A5,Datos!$B$2:$B$26103,14,Datos!$C$2:$C$26103,"&lt;30",Datos!$F$2:$F$26103,"STANDBY"),0),"")</f>
        <v/>
      </c>
      <c r="O5" s="7">
        <f>IFERROR(ROUND(AVERAGEIFS(Datos!$G$2:$G$26103,Datos!$E$2:$E$26103,$A5,Datos!$B$2:$B$26103,14,Datos!$C$2:$C$26103,"&gt;=30",Datos!$F$2:$F$26103,"STANDBY"),0),"")</f>
        <v/>
      </c>
      <c r="P5" s="7">
        <f>IFERROR(ROUND(AVERAGEIFS(Datos!$G$2:$G$26103,Datos!$E$2:$E$26103,$A5,Datos!$B$2:$B$26103,15,Datos!$C$2:$C$26103,"&lt;30",Datos!$F$2:$F$26103,"STANDBY"),0),"")</f>
        <v/>
      </c>
      <c r="Q5" s="7">
        <f>IFERROR(ROUND(AVERAGEIFS(Datos!$G$2:$G$26103,Datos!$E$2:$E$26103,$A5,Datos!$B$2:$B$26103,15,Datos!$C$2:$C$26103,"&gt;=30",Datos!$F$2:$F$26103,"STANDBY"),0),"")</f>
        <v/>
      </c>
      <c r="R5" s="7">
        <f>IFERROR(ROUND(AVERAGEIFS(Datos!$G$2:$G$26103,Datos!$E$2:$E$26103,$A5,Datos!$B$2:$B$26103,16,Datos!$C$2:$C$26103,"&lt;30",Datos!$F$2:$F$26103,"STANDBY"),0),"")</f>
        <v/>
      </c>
      <c r="S5" s="7">
        <f>IFERROR(ROUND(AVERAGEIFS(Datos!$G$2:$G$26103,Datos!$E$2:$E$26103,$A5,Datos!$B$2:$B$26103,16,Datos!$C$2:$C$26103,"&gt;=30",Datos!$F$2:$F$26103,"STANDBY"),0),"")</f>
        <v/>
      </c>
      <c r="T5" s="7">
        <f>IFERROR(ROUND(AVERAGEIFS(Datos!$G$2:$G$26103,Datos!$E$2:$E$26103,$A5,Datos!$B$2:$B$26103,17,Datos!$C$2:$C$26103,"&lt;30",Datos!$F$2:$F$26103,"STANDBY"),0),"")</f>
        <v/>
      </c>
      <c r="U5" s="7">
        <f>IFERROR(ROUND(AVERAGEIFS(Datos!$G$2:$G$26103,Datos!$E$2:$E$26103,$A5,Datos!$B$2:$B$26103,17,Datos!$C$2:$C$26103,"&gt;=30",Datos!$F$2:$F$26103,"STANDBY"),0),"")</f>
        <v/>
      </c>
      <c r="V5" s="7">
        <f>IFERROR(ROUND(AVERAGEIFS(Datos!$G$2:$G$26103,Datos!$E$2:$E$26103,$A5,Datos!$B$2:$B$26103,18,Datos!$C$2:$C$26103,"&lt;30",Datos!$F$2:$F$26103,"STANDBY"),0),"")</f>
        <v/>
      </c>
      <c r="W5" s="7">
        <f>IFERROR(ROUND(AVERAGEIFS(Datos!$G$2:$G$26103,Datos!$E$2:$E$26103,$A5,Datos!$B$2:$B$26103,18,Datos!$C$2:$C$26103,"&gt;=30",Datos!$F$2:$F$26103,"STANDBY"),0),"")</f>
        <v/>
      </c>
      <c r="X5" s="7">
        <f>IFERROR(ROUND(AVERAGEIFS(Datos!$G$2:$G$26103,Datos!$E$2:$E$26103,$A5,Datos!$B$2:$B$26103,19,Datos!$C$2:$C$26103,"&lt;30",Datos!$F$2:$F$26103,"STANDBY"),0),"")</f>
        <v/>
      </c>
      <c r="Y5" s="7">
        <f>IFERROR(ROUND(AVERAGEIFS(Datos!$G$2:$G$26103,Datos!$E$2:$E$26103,$A5,Datos!$B$2:$B$26103,19,Datos!$C$2:$C$26103,"&gt;=30",Datos!$F$2:$F$26103,"STANDBY"),0),"")</f>
        <v/>
      </c>
      <c r="Z5" s="7">
        <f>IFERROR(ROUND(AVERAGEIFS(Datos!$G$2:$G$26103,Datos!$E$2:$E$26103,$A5,Datos!$B$2:$B$26103,20,Datos!$C$2:$C$26103,"&lt;30",Datos!$F$2:$F$26103,"STANDBY"),0),"")</f>
        <v/>
      </c>
      <c r="AA5" s="7">
        <f>IFERROR(ROUND(AVERAGEIFS(Datos!$G$2:$G$26103,Datos!$E$2:$E$26103,$A5,Datos!$B$2:$B$26103,20,Datos!$C$2:$C$26103,"&gt;=30",Datos!$F$2:$F$26103,"STANDBY"),0),"")</f>
        <v/>
      </c>
      <c r="AB5" s="7">
        <f>IFERROR(ROUND(AVERAGEIFS(Datos!$G$2:$G$26103,Datos!$E$2:$E$26103,$A5,Datos!$B$2:$B$26103,21,Datos!$C$2:$C$26103,"&lt;30",Datos!$F$2:$F$26103,"STANDBY"),0),"")</f>
        <v/>
      </c>
      <c r="AC5" s="7">
        <f>IFERROR(ROUND(AVERAGEIFS(Datos!$G$2:$G$26103,Datos!$E$2:$E$26103,$A5,Datos!$B$2:$B$26103,21,Datos!$C$2:$C$26103,"&gt;=30",Datos!$F$2:$F$26103,"STANDBY"),0),"")</f>
        <v/>
      </c>
      <c r="AD5" s="7">
        <f>IFERROR(ROUND(AVERAGEIFS(Datos!$G$2:$G$26103,Datos!$E$2:$E$26103,$A5,Datos!$B$2:$B$26103,22,Datos!$C$2:$C$26103,"&lt;30",Datos!$F$2:$F$26103,"STANDBY"),0),"")</f>
        <v/>
      </c>
      <c r="AE5" s="7">
        <f>IFERROR(ROUND(AVERAGEIFS(Datos!$G$2:$G$26103,Datos!$E$2:$E$26103,$A5,Datos!$B$2:$B$26103,22,Datos!$C$2:$C$26103,"&gt;=30",Datos!$F$2:$F$26103,"STANDBY"),0),"")</f>
        <v/>
      </c>
      <c r="AF5" s="7">
        <f>IFERROR(ROUND(AVERAGEIFS(Datos!$G$2:$G$26103,Datos!$E$2:$E$26103,$A5,Datos!$B$2:$B$26103,23,Datos!$C$2:$C$26103,"&lt;30",Datos!$F$2:$F$26103,"STANDBY"),0),"")</f>
        <v/>
      </c>
      <c r="AG5" s="7">
        <f>IFERROR(ROUND(AVERAGEIFS(Datos!$G$2:$G$26103,Datos!$E$2:$E$26103,$A5,Datos!$B$2:$B$26103,23,Datos!$C$2:$C$26103,"&gt;=30",Datos!$F$2:$F$26103,"STANDBY"),0),"")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IFERROR(ROUND(AVERAGEIFS(Datos!$G$2:$G$26103,Datos!$E$2:$E$26103,$A6,Datos!$B$2:$B$26103,8,Datos!$C$2:$C$26103,"&lt;30",Datos!$F$2:$F$26103,"STANDBY"),0),"")</f>
        <v/>
      </c>
      <c r="C6" s="7">
        <f>IFERROR(ROUND(AVERAGEIFS(Datos!$G$2:$G$26103,Datos!$E$2:$E$26103,$A6,Datos!$B$2:$B$26103,8,Datos!$C$2:$C$26103,"&gt;=30",Datos!$F$2:$F$26103,"STANDBY"),0),"")</f>
        <v/>
      </c>
      <c r="D6" s="7">
        <f>IFERROR(ROUND(AVERAGEIFS(Datos!$G$2:$G$26103,Datos!$E$2:$E$26103,$A6,Datos!$B$2:$B$26103,9,Datos!$C$2:$C$26103,"&lt;30",Datos!$F$2:$F$26103,"STANDBY"),0),"")</f>
        <v/>
      </c>
      <c r="E6" s="7">
        <f>IFERROR(ROUND(AVERAGEIFS(Datos!$G$2:$G$26103,Datos!$E$2:$E$26103,$A6,Datos!$B$2:$B$26103,9,Datos!$C$2:$C$26103,"&gt;=30",Datos!$F$2:$F$26103,"STANDBY"),0),"")</f>
        <v/>
      </c>
      <c r="F6" s="7">
        <f>IFERROR(ROUND(AVERAGEIFS(Datos!$G$2:$G$26103,Datos!$E$2:$E$26103,$A6,Datos!$B$2:$B$26103,10,Datos!$C$2:$C$26103,"&lt;30",Datos!$F$2:$F$26103,"STANDBY"),0),"")</f>
        <v/>
      </c>
      <c r="G6" s="7">
        <f>IFERROR(ROUND(AVERAGEIFS(Datos!$G$2:$G$26103,Datos!$E$2:$E$26103,$A6,Datos!$B$2:$B$26103,10,Datos!$C$2:$C$26103,"&gt;=30",Datos!$F$2:$F$26103,"STANDBY"),0),"")</f>
        <v/>
      </c>
      <c r="H6" s="7">
        <f>IFERROR(ROUND(AVERAGEIFS(Datos!$G$2:$G$26103,Datos!$E$2:$E$26103,$A6,Datos!$B$2:$B$26103,11,Datos!$C$2:$C$26103,"&lt;30",Datos!$F$2:$F$26103,"STANDBY"),0),"")</f>
        <v/>
      </c>
      <c r="I6" s="7">
        <f>IFERROR(ROUND(AVERAGEIFS(Datos!$G$2:$G$26103,Datos!$E$2:$E$26103,$A6,Datos!$B$2:$B$26103,11,Datos!$C$2:$C$26103,"&gt;=30",Datos!$F$2:$F$26103,"STANDBY"),0),"")</f>
        <v/>
      </c>
      <c r="J6" s="7">
        <f>IFERROR(ROUND(AVERAGEIFS(Datos!$G$2:$G$26103,Datos!$E$2:$E$26103,$A6,Datos!$B$2:$B$26103,12,Datos!$C$2:$C$26103,"&lt;30",Datos!$F$2:$F$26103,"STANDBY"),0),"")</f>
        <v/>
      </c>
      <c r="K6" s="7">
        <f>IFERROR(ROUND(AVERAGEIFS(Datos!$G$2:$G$26103,Datos!$E$2:$E$26103,$A6,Datos!$B$2:$B$26103,12,Datos!$C$2:$C$26103,"&gt;=30",Datos!$F$2:$F$26103,"STANDBY"),0),"")</f>
        <v/>
      </c>
      <c r="L6" s="7">
        <f>IFERROR(ROUND(AVERAGEIFS(Datos!$G$2:$G$26103,Datos!$E$2:$E$26103,$A6,Datos!$B$2:$B$26103,13,Datos!$C$2:$C$26103,"&lt;30",Datos!$F$2:$F$26103,"STANDBY"),0),"")</f>
        <v/>
      </c>
      <c r="M6" s="7">
        <f>IFERROR(ROUND(AVERAGEIFS(Datos!$G$2:$G$26103,Datos!$E$2:$E$26103,$A6,Datos!$B$2:$B$26103,13,Datos!$C$2:$C$26103,"&gt;=30",Datos!$F$2:$F$26103,"STANDBY"),0),"")</f>
        <v/>
      </c>
      <c r="N6" s="7">
        <f>IFERROR(ROUND(AVERAGEIFS(Datos!$G$2:$G$26103,Datos!$E$2:$E$26103,$A6,Datos!$B$2:$B$26103,14,Datos!$C$2:$C$26103,"&lt;30",Datos!$F$2:$F$26103,"STANDBY"),0),"")</f>
        <v/>
      </c>
      <c r="O6" s="7">
        <f>IFERROR(ROUND(AVERAGEIFS(Datos!$G$2:$G$26103,Datos!$E$2:$E$26103,$A6,Datos!$B$2:$B$26103,14,Datos!$C$2:$C$26103,"&gt;=30",Datos!$F$2:$F$26103,"STANDBY"),0),"")</f>
        <v/>
      </c>
      <c r="P6" s="7">
        <f>IFERROR(ROUND(AVERAGEIFS(Datos!$G$2:$G$26103,Datos!$E$2:$E$26103,$A6,Datos!$B$2:$B$26103,15,Datos!$C$2:$C$26103,"&lt;30",Datos!$F$2:$F$26103,"STANDBY"),0),"")</f>
        <v/>
      </c>
      <c r="Q6" s="7">
        <f>IFERROR(ROUND(AVERAGEIFS(Datos!$G$2:$G$26103,Datos!$E$2:$E$26103,$A6,Datos!$B$2:$B$26103,15,Datos!$C$2:$C$26103,"&gt;=30",Datos!$F$2:$F$26103,"STANDBY"),0),"")</f>
        <v/>
      </c>
      <c r="R6" s="7">
        <f>IFERROR(ROUND(AVERAGEIFS(Datos!$G$2:$G$26103,Datos!$E$2:$E$26103,$A6,Datos!$B$2:$B$26103,16,Datos!$C$2:$C$26103,"&lt;30",Datos!$F$2:$F$26103,"STANDBY"),0),"")</f>
        <v/>
      </c>
      <c r="S6" s="7">
        <f>IFERROR(ROUND(AVERAGEIFS(Datos!$G$2:$G$26103,Datos!$E$2:$E$26103,$A6,Datos!$B$2:$B$26103,16,Datos!$C$2:$C$26103,"&gt;=30",Datos!$F$2:$F$26103,"STANDBY"),0),"")</f>
        <v/>
      </c>
      <c r="T6" s="7">
        <f>IFERROR(ROUND(AVERAGEIFS(Datos!$G$2:$G$26103,Datos!$E$2:$E$26103,$A6,Datos!$B$2:$B$26103,17,Datos!$C$2:$C$26103,"&lt;30",Datos!$F$2:$F$26103,"STANDBY"),0),"")</f>
        <v/>
      </c>
      <c r="U6" s="7">
        <f>IFERROR(ROUND(AVERAGEIFS(Datos!$G$2:$G$26103,Datos!$E$2:$E$26103,$A6,Datos!$B$2:$B$26103,17,Datos!$C$2:$C$26103,"&gt;=30",Datos!$F$2:$F$26103,"STANDBY"),0),"")</f>
        <v/>
      </c>
      <c r="V6" s="7">
        <f>IFERROR(ROUND(AVERAGEIFS(Datos!$G$2:$G$26103,Datos!$E$2:$E$26103,$A6,Datos!$B$2:$B$26103,18,Datos!$C$2:$C$26103,"&lt;30",Datos!$F$2:$F$26103,"STANDBY"),0),"")</f>
        <v/>
      </c>
      <c r="W6" s="7">
        <f>IFERROR(ROUND(AVERAGEIFS(Datos!$G$2:$G$26103,Datos!$E$2:$E$26103,$A6,Datos!$B$2:$B$26103,18,Datos!$C$2:$C$26103,"&gt;=30",Datos!$F$2:$F$26103,"STANDBY"),0),"")</f>
        <v/>
      </c>
      <c r="X6" s="7">
        <f>IFERROR(ROUND(AVERAGEIFS(Datos!$G$2:$G$26103,Datos!$E$2:$E$26103,$A6,Datos!$B$2:$B$26103,19,Datos!$C$2:$C$26103,"&lt;30",Datos!$F$2:$F$26103,"STANDBY"),0),"")</f>
        <v/>
      </c>
      <c r="Y6" s="7">
        <f>IFERROR(ROUND(AVERAGEIFS(Datos!$G$2:$G$26103,Datos!$E$2:$E$26103,$A6,Datos!$B$2:$B$26103,19,Datos!$C$2:$C$26103,"&gt;=30",Datos!$F$2:$F$26103,"STANDBY"),0),"")</f>
        <v/>
      </c>
      <c r="Z6" s="7">
        <f>IFERROR(ROUND(AVERAGEIFS(Datos!$G$2:$G$26103,Datos!$E$2:$E$26103,$A6,Datos!$B$2:$B$26103,20,Datos!$C$2:$C$26103,"&lt;30",Datos!$F$2:$F$26103,"STANDBY"),0),"")</f>
        <v/>
      </c>
      <c r="AA6" s="7">
        <f>IFERROR(ROUND(AVERAGEIFS(Datos!$G$2:$G$26103,Datos!$E$2:$E$26103,$A6,Datos!$B$2:$B$26103,20,Datos!$C$2:$C$26103,"&gt;=30",Datos!$F$2:$F$26103,"STANDBY"),0),"")</f>
        <v/>
      </c>
      <c r="AB6" s="7">
        <f>IFERROR(ROUND(AVERAGEIFS(Datos!$G$2:$G$26103,Datos!$E$2:$E$26103,$A6,Datos!$B$2:$B$26103,21,Datos!$C$2:$C$26103,"&lt;30",Datos!$F$2:$F$26103,"STANDBY"),0),"")</f>
        <v/>
      </c>
      <c r="AC6" s="7">
        <f>IFERROR(ROUND(AVERAGEIFS(Datos!$G$2:$G$26103,Datos!$E$2:$E$26103,$A6,Datos!$B$2:$B$26103,21,Datos!$C$2:$C$26103,"&gt;=30",Datos!$F$2:$F$26103,"STANDBY"),0),"")</f>
        <v/>
      </c>
      <c r="AD6" s="7">
        <f>IFERROR(ROUND(AVERAGEIFS(Datos!$G$2:$G$26103,Datos!$E$2:$E$26103,$A6,Datos!$B$2:$B$26103,22,Datos!$C$2:$C$26103,"&lt;30",Datos!$F$2:$F$26103,"STANDBY"),0),"")</f>
        <v/>
      </c>
      <c r="AE6" s="7">
        <f>IFERROR(ROUND(AVERAGEIFS(Datos!$G$2:$G$26103,Datos!$E$2:$E$26103,$A6,Datos!$B$2:$B$26103,22,Datos!$C$2:$C$26103,"&gt;=30",Datos!$F$2:$F$26103,"STANDBY"),0),"")</f>
        <v/>
      </c>
      <c r="AF6" s="7">
        <f>IFERROR(ROUND(AVERAGEIFS(Datos!$G$2:$G$26103,Datos!$E$2:$E$26103,$A6,Datos!$B$2:$B$26103,23,Datos!$C$2:$C$26103,"&lt;30",Datos!$F$2:$F$26103,"STANDBY"),0),"")</f>
        <v/>
      </c>
      <c r="AG6" s="7">
        <f>IFERROR(ROUND(AVERAGEIFS(Datos!$G$2:$G$26103,Datos!$E$2:$E$26103,$A6,Datos!$B$2:$B$26103,23,Datos!$C$2:$C$26103,"&gt;=30",Datos!$F$2:$F$26103,"STANDBY"),0),"")</f>
        <v/>
      </c>
    </row>
    <row r="7">
      <c r="A7" s="6" t="inlineStr">
        <is>
          <t>Cars Quatre Roues Rallye</t>
        </is>
      </c>
      <c r="B7" s="7">
        <f>IFERROR(ROUND(AVERAGEIFS(Datos!$G$2:$G$26103,Datos!$E$2:$E$26103,$A7,Datos!$B$2:$B$26103,8,Datos!$C$2:$C$26103,"&lt;30",Datos!$F$2:$F$26103,"STANDBY"),0),"")</f>
        <v/>
      </c>
      <c r="C7" s="7">
        <f>IFERROR(ROUND(AVERAGEIFS(Datos!$G$2:$G$26103,Datos!$E$2:$E$26103,$A7,Datos!$B$2:$B$26103,8,Datos!$C$2:$C$26103,"&gt;=30",Datos!$F$2:$F$26103,"STANDBY"),0),"")</f>
        <v/>
      </c>
      <c r="D7" s="7">
        <f>IFERROR(ROUND(AVERAGEIFS(Datos!$G$2:$G$26103,Datos!$E$2:$E$26103,$A7,Datos!$B$2:$B$26103,9,Datos!$C$2:$C$26103,"&lt;30",Datos!$F$2:$F$26103,"STANDBY"),0),"")</f>
        <v/>
      </c>
      <c r="E7" s="7">
        <f>IFERROR(ROUND(AVERAGEIFS(Datos!$G$2:$G$26103,Datos!$E$2:$E$26103,$A7,Datos!$B$2:$B$26103,9,Datos!$C$2:$C$26103,"&gt;=30",Datos!$F$2:$F$26103,"STANDBY"),0),"")</f>
        <v/>
      </c>
      <c r="F7" s="7">
        <f>IFERROR(ROUND(AVERAGEIFS(Datos!$G$2:$G$26103,Datos!$E$2:$E$26103,$A7,Datos!$B$2:$B$26103,10,Datos!$C$2:$C$26103,"&lt;30",Datos!$F$2:$F$26103,"STANDBY"),0),"")</f>
        <v/>
      </c>
      <c r="G7" s="7">
        <f>IFERROR(ROUND(AVERAGEIFS(Datos!$G$2:$G$26103,Datos!$E$2:$E$26103,$A7,Datos!$B$2:$B$26103,10,Datos!$C$2:$C$26103,"&gt;=30",Datos!$F$2:$F$26103,"STANDBY"),0),"")</f>
        <v/>
      </c>
      <c r="H7" s="7">
        <f>IFERROR(ROUND(AVERAGEIFS(Datos!$G$2:$G$26103,Datos!$E$2:$E$26103,$A7,Datos!$B$2:$B$26103,11,Datos!$C$2:$C$26103,"&lt;30",Datos!$F$2:$F$26103,"STANDBY"),0),"")</f>
        <v/>
      </c>
      <c r="I7" s="7">
        <f>IFERROR(ROUND(AVERAGEIFS(Datos!$G$2:$G$26103,Datos!$E$2:$E$26103,$A7,Datos!$B$2:$B$26103,11,Datos!$C$2:$C$26103,"&gt;=30",Datos!$F$2:$F$26103,"STANDBY"),0),"")</f>
        <v/>
      </c>
      <c r="J7" s="7">
        <f>IFERROR(ROUND(AVERAGEIFS(Datos!$G$2:$G$26103,Datos!$E$2:$E$26103,$A7,Datos!$B$2:$B$26103,12,Datos!$C$2:$C$26103,"&lt;30",Datos!$F$2:$F$26103,"STANDBY"),0),"")</f>
        <v/>
      </c>
      <c r="K7" s="7">
        <f>IFERROR(ROUND(AVERAGEIFS(Datos!$G$2:$G$26103,Datos!$E$2:$E$26103,$A7,Datos!$B$2:$B$26103,12,Datos!$C$2:$C$26103,"&gt;=30",Datos!$F$2:$F$26103,"STANDBY"),0),"")</f>
        <v/>
      </c>
      <c r="L7" s="7">
        <f>IFERROR(ROUND(AVERAGEIFS(Datos!$G$2:$G$26103,Datos!$E$2:$E$26103,$A7,Datos!$B$2:$B$26103,13,Datos!$C$2:$C$26103,"&lt;30",Datos!$F$2:$F$26103,"STANDBY"),0),"")</f>
        <v/>
      </c>
      <c r="M7" s="7">
        <f>IFERROR(ROUND(AVERAGEIFS(Datos!$G$2:$G$26103,Datos!$E$2:$E$26103,$A7,Datos!$B$2:$B$26103,13,Datos!$C$2:$C$26103,"&gt;=30",Datos!$F$2:$F$26103,"STANDBY"),0),"")</f>
        <v/>
      </c>
      <c r="N7" s="7">
        <f>IFERROR(ROUND(AVERAGEIFS(Datos!$G$2:$G$26103,Datos!$E$2:$E$26103,$A7,Datos!$B$2:$B$26103,14,Datos!$C$2:$C$26103,"&lt;30",Datos!$F$2:$F$26103,"STANDBY"),0),"")</f>
        <v/>
      </c>
      <c r="O7" s="7">
        <f>IFERROR(ROUND(AVERAGEIFS(Datos!$G$2:$G$26103,Datos!$E$2:$E$26103,$A7,Datos!$B$2:$B$26103,14,Datos!$C$2:$C$26103,"&gt;=30",Datos!$F$2:$F$26103,"STANDBY"),0),"")</f>
        <v/>
      </c>
      <c r="P7" s="7">
        <f>IFERROR(ROUND(AVERAGEIFS(Datos!$G$2:$G$26103,Datos!$E$2:$E$26103,$A7,Datos!$B$2:$B$26103,15,Datos!$C$2:$C$26103,"&lt;30",Datos!$F$2:$F$26103,"STANDBY"),0),"")</f>
        <v/>
      </c>
      <c r="Q7" s="7">
        <f>IFERROR(ROUND(AVERAGEIFS(Datos!$G$2:$G$26103,Datos!$E$2:$E$26103,$A7,Datos!$B$2:$B$26103,15,Datos!$C$2:$C$26103,"&gt;=30",Datos!$F$2:$F$26103,"STANDBY"),0),"")</f>
        <v/>
      </c>
      <c r="R7" s="7">
        <f>IFERROR(ROUND(AVERAGEIFS(Datos!$G$2:$G$26103,Datos!$E$2:$E$26103,$A7,Datos!$B$2:$B$26103,16,Datos!$C$2:$C$26103,"&lt;30",Datos!$F$2:$F$26103,"STANDBY"),0),"")</f>
        <v/>
      </c>
      <c r="S7" s="7">
        <f>IFERROR(ROUND(AVERAGEIFS(Datos!$G$2:$G$26103,Datos!$E$2:$E$26103,$A7,Datos!$B$2:$B$26103,16,Datos!$C$2:$C$26103,"&gt;=30",Datos!$F$2:$F$26103,"STANDBY"),0),"")</f>
        <v/>
      </c>
      <c r="T7" s="7">
        <f>IFERROR(ROUND(AVERAGEIFS(Datos!$G$2:$G$26103,Datos!$E$2:$E$26103,$A7,Datos!$B$2:$B$26103,17,Datos!$C$2:$C$26103,"&lt;30",Datos!$F$2:$F$26103,"STANDBY"),0),"")</f>
        <v/>
      </c>
      <c r="U7" s="7">
        <f>IFERROR(ROUND(AVERAGEIFS(Datos!$G$2:$G$26103,Datos!$E$2:$E$26103,$A7,Datos!$B$2:$B$26103,17,Datos!$C$2:$C$26103,"&gt;=30",Datos!$F$2:$F$26103,"STANDBY"),0),"")</f>
        <v/>
      </c>
      <c r="V7" s="7">
        <f>IFERROR(ROUND(AVERAGEIFS(Datos!$G$2:$G$26103,Datos!$E$2:$E$26103,$A7,Datos!$B$2:$B$26103,18,Datos!$C$2:$C$26103,"&lt;30",Datos!$F$2:$F$26103,"STANDBY"),0),"")</f>
        <v/>
      </c>
      <c r="W7" s="7">
        <f>IFERROR(ROUND(AVERAGEIFS(Datos!$G$2:$G$26103,Datos!$E$2:$E$26103,$A7,Datos!$B$2:$B$26103,18,Datos!$C$2:$C$26103,"&gt;=30",Datos!$F$2:$F$26103,"STANDBY"),0),"")</f>
        <v/>
      </c>
      <c r="X7" s="7">
        <f>IFERROR(ROUND(AVERAGEIFS(Datos!$G$2:$G$26103,Datos!$E$2:$E$26103,$A7,Datos!$B$2:$B$26103,19,Datos!$C$2:$C$26103,"&lt;30",Datos!$F$2:$F$26103,"STANDBY"),0),"")</f>
        <v/>
      </c>
      <c r="Y7" s="7">
        <f>IFERROR(ROUND(AVERAGEIFS(Datos!$G$2:$G$26103,Datos!$E$2:$E$26103,$A7,Datos!$B$2:$B$26103,19,Datos!$C$2:$C$26103,"&gt;=30",Datos!$F$2:$F$26103,"STANDBY"),0),"")</f>
        <v/>
      </c>
      <c r="Z7" s="7">
        <f>IFERROR(ROUND(AVERAGEIFS(Datos!$G$2:$G$26103,Datos!$E$2:$E$26103,$A7,Datos!$B$2:$B$26103,20,Datos!$C$2:$C$26103,"&lt;30",Datos!$F$2:$F$26103,"STANDBY"),0),"")</f>
        <v/>
      </c>
      <c r="AA7" s="7">
        <f>IFERROR(ROUND(AVERAGEIFS(Datos!$G$2:$G$26103,Datos!$E$2:$E$26103,$A7,Datos!$B$2:$B$26103,20,Datos!$C$2:$C$26103,"&gt;=30",Datos!$F$2:$F$26103,"STANDBY"),0),"")</f>
        <v/>
      </c>
      <c r="AB7" s="7">
        <f>IFERROR(ROUND(AVERAGEIFS(Datos!$G$2:$G$26103,Datos!$E$2:$E$26103,$A7,Datos!$B$2:$B$26103,21,Datos!$C$2:$C$26103,"&lt;30",Datos!$F$2:$F$26103,"STANDBY"),0),"")</f>
        <v/>
      </c>
      <c r="AC7" s="7">
        <f>IFERROR(ROUND(AVERAGEIFS(Datos!$G$2:$G$26103,Datos!$E$2:$E$26103,$A7,Datos!$B$2:$B$26103,21,Datos!$C$2:$C$26103,"&gt;=30",Datos!$F$2:$F$26103,"STANDBY"),0),"")</f>
        <v/>
      </c>
      <c r="AD7" s="7">
        <f>IFERROR(ROUND(AVERAGEIFS(Datos!$G$2:$G$26103,Datos!$E$2:$E$26103,$A7,Datos!$B$2:$B$26103,22,Datos!$C$2:$C$26103,"&lt;30",Datos!$F$2:$F$26103,"STANDBY"),0),"")</f>
        <v/>
      </c>
      <c r="AE7" s="7">
        <f>IFERROR(ROUND(AVERAGEIFS(Datos!$G$2:$G$26103,Datos!$E$2:$E$26103,$A7,Datos!$B$2:$B$26103,22,Datos!$C$2:$C$26103,"&gt;=30",Datos!$F$2:$F$26103,"STANDBY"),0),"")</f>
        <v/>
      </c>
      <c r="AF7" s="7">
        <f>IFERROR(ROUND(AVERAGEIFS(Datos!$G$2:$G$26103,Datos!$E$2:$E$26103,$A7,Datos!$B$2:$B$26103,23,Datos!$C$2:$C$26103,"&lt;30",Datos!$F$2:$F$26103,"STANDBY"),0),"")</f>
        <v/>
      </c>
      <c r="AG7" s="7">
        <f>IFERROR(ROUND(AVERAGEIFS(Datos!$G$2:$G$26103,Datos!$E$2:$E$26103,$A7,Datos!$B$2:$B$26103,23,Datos!$C$2:$C$26103,"&gt;=30",Datos!$F$2:$F$26103,"STANDBY"),0),"")</f>
        <v/>
      </c>
    </row>
    <row r="8">
      <c r="A8" s="6" t="inlineStr">
        <is>
          <t>Cars ROAD TRIP</t>
        </is>
      </c>
      <c r="B8" s="7">
        <f>IFERROR(ROUND(AVERAGEIFS(Datos!$G$2:$G$26103,Datos!$E$2:$E$26103,$A8,Datos!$B$2:$B$26103,8,Datos!$C$2:$C$26103,"&lt;30",Datos!$F$2:$F$26103,"STANDBY"),0),"")</f>
        <v/>
      </c>
      <c r="C8" s="7">
        <f>IFERROR(ROUND(AVERAGEIFS(Datos!$G$2:$G$26103,Datos!$E$2:$E$26103,$A8,Datos!$B$2:$B$26103,8,Datos!$C$2:$C$26103,"&gt;=30",Datos!$F$2:$F$26103,"STANDBY"),0),"")</f>
        <v/>
      </c>
      <c r="D8" s="7">
        <f>IFERROR(ROUND(AVERAGEIFS(Datos!$G$2:$G$26103,Datos!$E$2:$E$26103,$A8,Datos!$B$2:$B$26103,9,Datos!$C$2:$C$26103,"&lt;30",Datos!$F$2:$F$26103,"STANDBY"),0),"")</f>
        <v/>
      </c>
      <c r="E8" s="7">
        <f>IFERROR(ROUND(AVERAGEIFS(Datos!$G$2:$G$26103,Datos!$E$2:$E$26103,$A8,Datos!$B$2:$B$26103,9,Datos!$C$2:$C$26103,"&gt;=30",Datos!$F$2:$F$26103,"STANDBY"),0),"")</f>
        <v/>
      </c>
      <c r="F8" s="7">
        <f>IFERROR(ROUND(AVERAGEIFS(Datos!$G$2:$G$26103,Datos!$E$2:$E$26103,$A8,Datos!$B$2:$B$26103,10,Datos!$C$2:$C$26103,"&lt;30",Datos!$F$2:$F$26103,"STANDBY"),0),"")</f>
        <v/>
      </c>
      <c r="G8" s="7">
        <f>IFERROR(ROUND(AVERAGEIFS(Datos!$G$2:$G$26103,Datos!$E$2:$E$26103,$A8,Datos!$B$2:$B$26103,10,Datos!$C$2:$C$26103,"&gt;=30",Datos!$F$2:$F$26103,"STANDBY"),0),"")</f>
        <v/>
      </c>
      <c r="H8" s="7">
        <f>IFERROR(ROUND(AVERAGEIFS(Datos!$G$2:$G$26103,Datos!$E$2:$E$26103,$A8,Datos!$B$2:$B$26103,11,Datos!$C$2:$C$26103,"&lt;30",Datos!$F$2:$F$26103,"STANDBY"),0),"")</f>
        <v/>
      </c>
      <c r="I8" s="7">
        <f>IFERROR(ROUND(AVERAGEIFS(Datos!$G$2:$G$26103,Datos!$E$2:$E$26103,$A8,Datos!$B$2:$B$26103,11,Datos!$C$2:$C$26103,"&gt;=30",Datos!$F$2:$F$26103,"STANDBY"),0),"")</f>
        <v/>
      </c>
      <c r="J8" s="7">
        <f>IFERROR(ROUND(AVERAGEIFS(Datos!$G$2:$G$26103,Datos!$E$2:$E$26103,$A8,Datos!$B$2:$B$26103,12,Datos!$C$2:$C$26103,"&lt;30",Datos!$F$2:$F$26103,"STANDBY"),0),"")</f>
        <v/>
      </c>
      <c r="K8" s="7">
        <f>IFERROR(ROUND(AVERAGEIFS(Datos!$G$2:$G$26103,Datos!$E$2:$E$26103,$A8,Datos!$B$2:$B$26103,12,Datos!$C$2:$C$26103,"&gt;=30",Datos!$F$2:$F$26103,"STANDBY"),0),"")</f>
        <v/>
      </c>
      <c r="L8" s="7">
        <f>IFERROR(ROUND(AVERAGEIFS(Datos!$G$2:$G$26103,Datos!$E$2:$E$26103,$A8,Datos!$B$2:$B$26103,13,Datos!$C$2:$C$26103,"&lt;30",Datos!$F$2:$F$26103,"STANDBY"),0),"")</f>
        <v/>
      </c>
      <c r="M8" s="7">
        <f>IFERROR(ROUND(AVERAGEIFS(Datos!$G$2:$G$26103,Datos!$E$2:$E$26103,$A8,Datos!$B$2:$B$26103,13,Datos!$C$2:$C$26103,"&gt;=30",Datos!$F$2:$F$26103,"STANDBY"),0),"")</f>
        <v/>
      </c>
      <c r="N8" s="7">
        <f>IFERROR(ROUND(AVERAGEIFS(Datos!$G$2:$G$26103,Datos!$E$2:$E$26103,$A8,Datos!$B$2:$B$26103,14,Datos!$C$2:$C$26103,"&lt;30",Datos!$F$2:$F$26103,"STANDBY"),0),"")</f>
        <v/>
      </c>
      <c r="O8" s="7">
        <f>IFERROR(ROUND(AVERAGEIFS(Datos!$G$2:$G$26103,Datos!$E$2:$E$26103,$A8,Datos!$B$2:$B$26103,14,Datos!$C$2:$C$26103,"&gt;=30",Datos!$F$2:$F$26103,"STANDBY"),0),"")</f>
        <v/>
      </c>
      <c r="P8" s="7">
        <f>IFERROR(ROUND(AVERAGEIFS(Datos!$G$2:$G$26103,Datos!$E$2:$E$26103,$A8,Datos!$B$2:$B$26103,15,Datos!$C$2:$C$26103,"&lt;30",Datos!$F$2:$F$26103,"STANDBY"),0),"")</f>
        <v/>
      </c>
      <c r="Q8" s="7">
        <f>IFERROR(ROUND(AVERAGEIFS(Datos!$G$2:$G$26103,Datos!$E$2:$E$26103,$A8,Datos!$B$2:$B$26103,15,Datos!$C$2:$C$26103,"&gt;=30",Datos!$F$2:$F$26103,"STANDBY"),0),"")</f>
        <v/>
      </c>
      <c r="R8" s="7">
        <f>IFERROR(ROUND(AVERAGEIFS(Datos!$G$2:$G$26103,Datos!$E$2:$E$26103,$A8,Datos!$B$2:$B$26103,16,Datos!$C$2:$C$26103,"&lt;30",Datos!$F$2:$F$26103,"STANDBY"),0),"")</f>
        <v/>
      </c>
      <c r="S8" s="7">
        <f>IFERROR(ROUND(AVERAGEIFS(Datos!$G$2:$G$26103,Datos!$E$2:$E$26103,$A8,Datos!$B$2:$B$26103,16,Datos!$C$2:$C$26103,"&gt;=30",Datos!$F$2:$F$26103,"STANDBY"),0),"")</f>
        <v/>
      </c>
      <c r="T8" s="7">
        <f>IFERROR(ROUND(AVERAGEIFS(Datos!$G$2:$G$26103,Datos!$E$2:$E$26103,$A8,Datos!$B$2:$B$26103,17,Datos!$C$2:$C$26103,"&lt;30",Datos!$F$2:$F$26103,"STANDBY"),0),"")</f>
        <v/>
      </c>
      <c r="U8" s="7">
        <f>IFERROR(ROUND(AVERAGEIFS(Datos!$G$2:$G$26103,Datos!$E$2:$E$26103,$A8,Datos!$B$2:$B$26103,17,Datos!$C$2:$C$26103,"&gt;=30",Datos!$F$2:$F$26103,"STANDBY"),0),"")</f>
        <v/>
      </c>
      <c r="V8" s="7">
        <f>IFERROR(ROUND(AVERAGEIFS(Datos!$G$2:$G$26103,Datos!$E$2:$E$26103,$A8,Datos!$B$2:$B$26103,18,Datos!$C$2:$C$26103,"&lt;30",Datos!$F$2:$F$26103,"STANDBY"),0),"")</f>
        <v/>
      </c>
      <c r="W8" s="7">
        <f>IFERROR(ROUND(AVERAGEIFS(Datos!$G$2:$G$26103,Datos!$E$2:$E$26103,$A8,Datos!$B$2:$B$26103,18,Datos!$C$2:$C$26103,"&gt;=30",Datos!$F$2:$F$26103,"STANDBY"),0),"")</f>
        <v/>
      </c>
      <c r="X8" s="7">
        <f>IFERROR(ROUND(AVERAGEIFS(Datos!$G$2:$G$26103,Datos!$E$2:$E$26103,$A8,Datos!$B$2:$B$26103,19,Datos!$C$2:$C$26103,"&lt;30",Datos!$F$2:$F$26103,"STANDBY"),0),"")</f>
        <v/>
      </c>
      <c r="Y8" s="7">
        <f>IFERROR(ROUND(AVERAGEIFS(Datos!$G$2:$G$26103,Datos!$E$2:$E$26103,$A8,Datos!$B$2:$B$26103,19,Datos!$C$2:$C$26103,"&gt;=30",Datos!$F$2:$F$26103,"STANDBY"),0),"")</f>
        <v/>
      </c>
      <c r="Z8" s="7">
        <f>IFERROR(ROUND(AVERAGEIFS(Datos!$G$2:$G$26103,Datos!$E$2:$E$26103,$A8,Datos!$B$2:$B$26103,20,Datos!$C$2:$C$26103,"&lt;30",Datos!$F$2:$F$26103,"STANDBY"),0),"")</f>
        <v/>
      </c>
      <c r="AA8" s="7">
        <f>IFERROR(ROUND(AVERAGEIFS(Datos!$G$2:$G$26103,Datos!$E$2:$E$26103,$A8,Datos!$B$2:$B$26103,20,Datos!$C$2:$C$26103,"&gt;=30",Datos!$F$2:$F$26103,"STANDBY"),0),"")</f>
        <v/>
      </c>
      <c r="AB8" s="7">
        <f>IFERROR(ROUND(AVERAGEIFS(Datos!$G$2:$G$26103,Datos!$E$2:$E$26103,$A8,Datos!$B$2:$B$26103,21,Datos!$C$2:$C$26103,"&lt;30",Datos!$F$2:$F$26103,"STANDBY"),0),"")</f>
        <v/>
      </c>
      <c r="AC8" s="7">
        <f>IFERROR(ROUND(AVERAGEIFS(Datos!$G$2:$G$26103,Datos!$E$2:$E$26103,$A8,Datos!$B$2:$B$26103,21,Datos!$C$2:$C$26103,"&gt;=30",Datos!$F$2:$F$26103,"STANDBY"),0),"")</f>
        <v/>
      </c>
      <c r="AD8" s="7">
        <f>IFERROR(ROUND(AVERAGEIFS(Datos!$G$2:$G$26103,Datos!$E$2:$E$26103,$A8,Datos!$B$2:$B$26103,22,Datos!$C$2:$C$26103,"&lt;30",Datos!$F$2:$F$26103,"STANDBY"),0),"")</f>
        <v/>
      </c>
      <c r="AE8" s="7">
        <f>IFERROR(ROUND(AVERAGEIFS(Datos!$G$2:$G$26103,Datos!$E$2:$E$26103,$A8,Datos!$B$2:$B$26103,22,Datos!$C$2:$C$26103,"&gt;=30",Datos!$F$2:$F$26103,"STANDBY"),0),"")</f>
        <v/>
      </c>
      <c r="AF8" s="7">
        <f>IFERROR(ROUND(AVERAGEIFS(Datos!$G$2:$G$26103,Datos!$E$2:$E$26103,$A8,Datos!$B$2:$B$26103,23,Datos!$C$2:$C$26103,"&lt;30",Datos!$F$2:$F$26103,"STANDBY"),0),"")</f>
        <v/>
      </c>
      <c r="AG8" s="7">
        <f>IFERROR(ROUND(AVERAGEIFS(Datos!$G$2:$G$26103,Datos!$E$2:$E$26103,$A8,Datos!$B$2:$B$26103,23,Datos!$C$2:$C$26103,"&gt;=30",Datos!$F$2:$F$26103,"STANDBY"),0),"")</f>
        <v/>
      </c>
    </row>
    <row r="9">
      <c r="A9" s="6" t="inlineStr">
        <is>
          <t>Crush's Coaster</t>
        </is>
      </c>
      <c r="B9" s="7">
        <f>IFERROR(ROUND(AVERAGEIFS(Datos!$G$2:$G$26103,Datos!$E$2:$E$26103,$A9,Datos!$B$2:$B$26103,8,Datos!$C$2:$C$26103,"&lt;30",Datos!$F$2:$F$26103,"STANDBY"),0),"")</f>
        <v/>
      </c>
      <c r="C9" s="7">
        <f>IFERROR(ROUND(AVERAGEIFS(Datos!$G$2:$G$26103,Datos!$E$2:$E$26103,$A9,Datos!$B$2:$B$26103,8,Datos!$C$2:$C$26103,"&gt;=30",Datos!$F$2:$F$26103,"STANDBY"),0),"")</f>
        <v/>
      </c>
      <c r="D9" s="7">
        <f>IFERROR(ROUND(AVERAGEIFS(Datos!$G$2:$G$26103,Datos!$E$2:$E$26103,$A9,Datos!$B$2:$B$26103,9,Datos!$C$2:$C$26103,"&lt;30",Datos!$F$2:$F$26103,"STANDBY"),0),"")</f>
        <v/>
      </c>
      <c r="E9" s="7">
        <f>IFERROR(ROUND(AVERAGEIFS(Datos!$G$2:$G$26103,Datos!$E$2:$E$26103,$A9,Datos!$B$2:$B$26103,9,Datos!$C$2:$C$26103,"&gt;=30",Datos!$F$2:$F$26103,"STANDBY"),0),"")</f>
        <v/>
      </c>
      <c r="F9" s="7">
        <f>IFERROR(ROUND(AVERAGEIFS(Datos!$G$2:$G$26103,Datos!$E$2:$E$26103,$A9,Datos!$B$2:$B$26103,10,Datos!$C$2:$C$26103,"&lt;30",Datos!$F$2:$F$26103,"STANDBY"),0),"")</f>
        <v/>
      </c>
      <c r="G9" s="7">
        <f>IFERROR(ROUND(AVERAGEIFS(Datos!$G$2:$G$26103,Datos!$E$2:$E$26103,$A9,Datos!$B$2:$B$26103,10,Datos!$C$2:$C$26103,"&gt;=30",Datos!$F$2:$F$26103,"STANDBY"),0),"")</f>
        <v/>
      </c>
      <c r="H9" s="7">
        <f>IFERROR(ROUND(AVERAGEIFS(Datos!$G$2:$G$26103,Datos!$E$2:$E$26103,$A9,Datos!$B$2:$B$26103,11,Datos!$C$2:$C$26103,"&lt;30",Datos!$F$2:$F$26103,"STANDBY"),0),"")</f>
        <v/>
      </c>
      <c r="I9" s="7">
        <f>IFERROR(ROUND(AVERAGEIFS(Datos!$G$2:$G$26103,Datos!$E$2:$E$26103,$A9,Datos!$B$2:$B$26103,11,Datos!$C$2:$C$26103,"&gt;=30",Datos!$F$2:$F$26103,"STANDBY"),0),"")</f>
        <v/>
      </c>
      <c r="J9" s="7">
        <f>IFERROR(ROUND(AVERAGEIFS(Datos!$G$2:$G$26103,Datos!$E$2:$E$26103,$A9,Datos!$B$2:$B$26103,12,Datos!$C$2:$C$26103,"&lt;30",Datos!$F$2:$F$26103,"STANDBY"),0),"")</f>
        <v/>
      </c>
      <c r="K9" s="7">
        <f>IFERROR(ROUND(AVERAGEIFS(Datos!$G$2:$G$26103,Datos!$E$2:$E$26103,$A9,Datos!$B$2:$B$26103,12,Datos!$C$2:$C$26103,"&gt;=30",Datos!$F$2:$F$26103,"STANDBY"),0),"")</f>
        <v/>
      </c>
      <c r="L9" s="7">
        <f>IFERROR(ROUND(AVERAGEIFS(Datos!$G$2:$G$26103,Datos!$E$2:$E$26103,$A9,Datos!$B$2:$B$26103,13,Datos!$C$2:$C$26103,"&lt;30",Datos!$F$2:$F$26103,"STANDBY"),0),"")</f>
        <v/>
      </c>
      <c r="M9" s="7">
        <f>IFERROR(ROUND(AVERAGEIFS(Datos!$G$2:$G$26103,Datos!$E$2:$E$26103,$A9,Datos!$B$2:$B$26103,13,Datos!$C$2:$C$26103,"&gt;=30",Datos!$F$2:$F$26103,"STANDBY"),0),"")</f>
        <v/>
      </c>
      <c r="N9" s="7">
        <f>IFERROR(ROUND(AVERAGEIFS(Datos!$G$2:$G$26103,Datos!$E$2:$E$26103,$A9,Datos!$B$2:$B$26103,14,Datos!$C$2:$C$26103,"&lt;30",Datos!$F$2:$F$26103,"STANDBY"),0),"")</f>
        <v/>
      </c>
      <c r="O9" s="7">
        <f>IFERROR(ROUND(AVERAGEIFS(Datos!$G$2:$G$26103,Datos!$E$2:$E$26103,$A9,Datos!$B$2:$B$26103,14,Datos!$C$2:$C$26103,"&gt;=30",Datos!$F$2:$F$26103,"STANDBY"),0),"")</f>
        <v/>
      </c>
      <c r="P9" s="7">
        <f>IFERROR(ROUND(AVERAGEIFS(Datos!$G$2:$G$26103,Datos!$E$2:$E$26103,$A9,Datos!$B$2:$B$26103,15,Datos!$C$2:$C$26103,"&lt;30",Datos!$F$2:$F$26103,"STANDBY"),0),"")</f>
        <v/>
      </c>
      <c r="Q9" s="7">
        <f>IFERROR(ROUND(AVERAGEIFS(Datos!$G$2:$G$26103,Datos!$E$2:$E$26103,$A9,Datos!$B$2:$B$26103,15,Datos!$C$2:$C$26103,"&gt;=30",Datos!$F$2:$F$26103,"STANDBY"),0),"")</f>
        <v/>
      </c>
      <c r="R9" s="7">
        <f>IFERROR(ROUND(AVERAGEIFS(Datos!$G$2:$G$26103,Datos!$E$2:$E$26103,$A9,Datos!$B$2:$B$26103,16,Datos!$C$2:$C$26103,"&lt;30",Datos!$F$2:$F$26103,"STANDBY"),0),"")</f>
        <v/>
      </c>
      <c r="S9" s="7">
        <f>IFERROR(ROUND(AVERAGEIFS(Datos!$G$2:$G$26103,Datos!$E$2:$E$26103,$A9,Datos!$B$2:$B$26103,16,Datos!$C$2:$C$26103,"&gt;=30",Datos!$F$2:$F$26103,"STANDBY"),0),"")</f>
        <v/>
      </c>
      <c r="T9" s="7">
        <f>IFERROR(ROUND(AVERAGEIFS(Datos!$G$2:$G$26103,Datos!$E$2:$E$26103,$A9,Datos!$B$2:$B$26103,17,Datos!$C$2:$C$26103,"&lt;30",Datos!$F$2:$F$26103,"STANDBY"),0),"")</f>
        <v/>
      </c>
      <c r="U9" s="7">
        <f>IFERROR(ROUND(AVERAGEIFS(Datos!$G$2:$G$26103,Datos!$E$2:$E$26103,$A9,Datos!$B$2:$B$26103,17,Datos!$C$2:$C$26103,"&gt;=30",Datos!$F$2:$F$26103,"STANDBY"),0),"")</f>
        <v/>
      </c>
      <c r="V9" s="7">
        <f>IFERROR(ROUND(AVERAGEIFS(Datos!$G$2:$G$26103,Datos!$E$2:$E$26103,$A9,Datos!$B$2:$B$26103,18,Datos!$C$2:$C$26103,"&lt;30",Datos!$F$2:$F$26103,"STANDBY"),0),"")</f>
        <v/>
      </c>
      <c r="W9" s="7">
        <f>IFERROR(ROUND(AVERAGEIFS(Datos!$G$2:$G$26103,Datos!$E$2:$E$26103,$A9,Datos!$B$2:$B$26103,18,Datos!$C$2:$C$26103,"&gt;=30",Datos!$F$2:$F$26103,"STANDBY"),0),"")</f>
        <v/>
      </c>
      <c r="X9" s="7">
        <f>IFERROR(ROUND(AVERAGEIFS(Datos!$G$2:$G$26103,Datos!$E$2:$E$26103,$A9,Datos!$B$2:$B$26103,19,Datos!$C$2:$C$26103,"&lt;30",Datos!$F$2:$F$26103,"STANDBY"),0),"")</f>
        <v/>
      </c>
      <c r="Y9" s="7">
        <f>IFERROR(ROUND(AVERAGEIFS(Datos!$G$2:$G$26103,Datos!$E$2:$E$26103,$A9,Datos!$B$2:$B$26103,19,Datos!$C$2:$C$26103,"&gt;=30",Datos!$F$2:$F$26103,"STANDBY"),0),"")</f>
        <v/>
      </c>
      <c r="Z9" s="7">
        <f>IFERROR(ROUND(AVERAGEIFS(Datos!$G$2:$G$26103,Datos!$E$2:$E$26103,$A9,Datos!$B$2:$B$26103,20,Datos!$C$2:$C$26103,"&lt;30",Datos!$F$2:$F$26103,"STANDBY"),0),"")</f>
        <v/>
      </c>
      <c r="AA9" s="7">
        <f>IFERROR(ROUND(AVERAGEIFS(Datos!$G$2:$G$26103,Datos!$E$2:$E$26103,$A9,Datos!$B$2:$B$26103,20,Datos!$C$2:$C$26103,"&gt;=30",Datos!$F$2:$F$26103,"STANDBY"),0),"")</f>
        <v/>
      </c>
      <c r="AB9" s="7">
        <f>IFERROR(ROUND(AVERAGEIFS(Datos!$G$2:$G$26103,Datos!$E$2:$E$26103,$A9,Datos!$B$2:$B$26103,21,Datos!$C$2:$C$26103,"&lt;30",Datos!$F$2:$F$26103,"STANDBY"),0),"")</f>
        <v/>
      </c>
      <c r="AC9" s="7">
        <f>IFERROR(ROUND(AVERAGEIFS(Datos!$G$2:$G$26103,Datos!$E$2:$E$26103,$A9,Datos!$B$2:$B$26103,21,Datos!$C$2:$C$26103,"&gt;=30",Datos!$F$2:$F$26103,"STANDBY"),0),"")</f>
        <v/>
      </c>
      <c r="AD9" s="7">
        <f>IFERROR(ROUND(AVERAGEIFS(Datos!$G$2:$G$26103,Datos!$E$2:$E$26103,$A9,Datos!$B$2:$B$26103,22,Datos!$C$2:$C$26103,"&lt;30",Datos!$F$2:$F$26103,"STANDBY"),0),"")</f>
        <v/>
      </c>
      <c r="AE9" s="7">
        <f>IFERROR(ROUND(AVERAGEIFS(Datos!$G$2:$G$26103,Datos!$E$2:$E$26103,$A9,Datos!$B$2:$B$26103,22,Datos!$C$2:$C$26103,"&gt;=30",Datos!$F$2:$F$26103,"STANDBY"),0),"")</f>
        <v/>
      </c>
      <c r="AF9" s="7">
        <f>IFERROR(ROUND(AVERAGEIFS(Datos!$G$2:$G$26103,Datos!$E$2:$E$26103,$A9,Datos!$B$2:$B$26103,23,Datos!$C$2:$C$26103,"&lt;30",Datos!$F$2:$F$26103,"STANDBY"),0),"")</f>
        <v/>
      </c>
      <c r="AG9" s="7">
        <f>IFERROR(ROUND(AVERAGEIFS(Datos!$G$2:$G$26103,Datos!$E$2:$E$26103,$A9,Datos!$B$2:$B$26103,23,Datos!$C$2:$C$26103,"&gt;=30",Datos!$F$2:$F$26103,"STANDBY"),0),"")</f>
        <v/>
      </c>
    </row>
    <row r="10">
      <c r="A10" s="6" t="inlineStr">
        <is>
          <t>Crush's Coaster Single Rider</t>
        </is>
      </c>
      <c r="B10" s="7">
        <f>IFERROR(ROUND(AVERAGEIFS(Datos!$G$2:$G$26103,Datos!$E$2:$E$26103,$A10,Datos!$B$2:$B$26103,8,Datos!$C$2:$C$26103,"&lt;30",Datos!$F$2:$F$26103,"STANDBY"),0),"")</f>
        <v/>
      </c>
      <c r="C10" s="7">
        <f>IFERROR(ROUND(AVERAGEIFS(Datos!$G$2:$G$26103,Datos!$E$2:$E$26103,$A10,Datos!$B$2:$B$26103,8,Datos!$C$2:$C$26103,"&gt;=30",Datos!$F$2:$F$26103,"STANDBY"),0),"")</f>
        <v/>
      </c>
      <c r="D10" s="7">
        <f>IFERROR(ROUND(AVERAGEIFS(Datos!$G$2:$G$26103,Datos!$E$2:$E$26103,$A10,Datos!$B$2:$B$26103,9,Datos!$C$2:$C$26103,"&lt;30",Datos!$F$2:$F$26103,"STANDBY"),0),"")</f>
        <v/>
      </c>
      <c r="E10" s="7">
        <f>IFERROR(ROUND(AVERAGEIFS(Datos!$G$2:$G$26103,Datos!$E$2:$E$26103,$A10,Datos!$B$2:$B$26103,9,Datos!$C$2:$C$26103,"&gt;=30",Datos!$F$2:$F$26103,"STANDBY"),0),"")</f>
        <v/>
      </c>
      <c r="F10" s="7">
        <f>IFERROR(ROUND(AVERAGEIFS(Datos!$G$2:$G$26103,Datos!$E$2:$E$26103,$A10,Datos!$B$2:$B$26103,10,Datos!$C$2:$C$26103,"&lt;30",Datos!$F$2:$F$26103,"STANDBY"),0),"")</f>
        <v/>
      </c>
      <c r="G10" s="7">
        <f>IFERROR(ROUND(AVERAGEIFS(Datos!$G$2:$G$26103,Datos!$E$2:$E$26103,$A10,Datos!$B$2:$B$26103,10,Datos!$C$2:$C$26103,"&gt;=30",Datos!$F$2:$F$26103,"STANDBY"),0),"")</f>
        <v/>
      </c>
      <c r="H10" s="7">
        <f>IFERROR(ROUND(AVERAGEIFS(Datos!$G$2:$G$26103,Datos!$E$2:$E$26103,$A10,Datos!$B$2:$B$26103,11,Datos!$C$2:$C$26103,"&lt;30",Datos!$F$2:$F$26103,"STANDBY"),0),"")</f>
        <v/>
      </c>
      <c r="I10" s="7">
        <f>IFERROR(ROUND(AVERAGEIFS(Datos!$G$2:$G$26103,Datos!$E$2:$E$26103,$A10,Datos!$B$2:$B$26103,11,Datos!$C$2:$C$26103,"&gt;=30",Datos!$F$2:$F$26103,"STANDBY"),0),"")</f>
        <v/>
      </c>
      <c r="J10" s="7">
        <f>IFERROR(ROUND(AVERAGEIFS(Datos!$G$2:$G$26103,Datos!$E$2:$E$26103,$A10,Datos!$B$2:$B$26103,12,Datos!$C$2:$C$26103,"&lt;30",Datos!$F$2:$F$26103,"STANDBY"),0),"")</f>
        <v/>
      </c>
      <c r="K10" s="7">
        <f>IFERROR(ROUND(AVERAGEIFS(Datos!$G$2:$G$26103,Datos!$E$2:$E$26103,$A10,Datos!$B$2:$B$26103,12,Datos!$C$2:$C$26103,"&gt;=30",Datos!$F$2:$F$26103,"STANDBY"),0),"")</f>
        <v/>
      </c>
      <c r="L10" s="7">
        <f>IFERROR(ROUND(AVERAGEIFS(Datos!$G$2:$G$26103,Datos!$E$2:$E$26103,$A10,Datos!$B$2:$B$26103,13,Datos!$C$2:$C$26103,"&lt;30",Datos!$F$2:$F$26103,"STANDBY"),0),"")</f>
        <v/>
      </c>
      <c r="M10" s="7">
        <f>IFERROR(ROUND(AVERAGEIFS(Datos!$G$2:$G$26103,Datos!$E$2:$E$26103,$A10,Datos!$B$2:$B$26103,13,Datos!$C$2:$C$26103,"&gt;=30",Datos!$F$2:$F$26103,"STANDBY"),0),"")</f>
        <v/>
      </c>
      <c r="N10" s="7">
        <f>IFERROR(ROUND(AVERAGEIFS(Datos!$G$2:$G$26103,Datos!$E$2:$E$26103,$A10,Datos!$B$2:$B$26103,14,Datos!$C$2:$C$26103,"&lt;30",Datos!$F$2:$F$26103,"STANDBY"),0),"")</f>
        <v/>
      </c>
      <c r="O10" s="7">
        <f>IFERROR(ROUND(AVERAGEIFS(Datos!$G$2:$G$26103,Datos!$E$2:$E$26103,$A10,Datos!$B$2:$B$26103,14,Datos!$C$2:$C$26103,"&gt;=30",Datos!$F$2:$F$26103,"STANDBY"),0),"")</f>
        <v/>
      </c>
      <c r="P10" s="7">
        <f>IFERROR(ROUND(AVERAGEIFS(Datos!$G$2:$G$26103,Datos!$E$2:$E$26103,$A10,Datos!$B$2:$B$26103,15,Datos!$C$2:$C$26103,"&lt;30",Datos!$F$2:$F$26103,"STANDBY"),0),"")</f>
        <v/>
      </c>
      <c r="Q10" s="7">
        <f>IFERROR(ROUND(AVERAGEIFS(Datos!$G$2:$G$26103,Datos!$E$2:$E$26103,$A10,Datos!$B$2:$B$26103,15,Datos!$C$2:$C$26103,"&gt;=30",Datos!$F$2:$F$26103,"STANDBY"),0),"")</f>
        <v/>
      </c>
      <c r="R10" s="7">
        <f>IFERROR(ROUND(AVERAGEIFS(Datos!$G$2:$G$26103,Datos!$E$2:$E$26103,$A10,Datos!$B$2:$B$26103,16,Datos!$C$2:$C$26103,"&lt;30",Datos!$F$2:$F$26103,"STANDBY"),0),"")</f>
        <v/>
      </c>
      <c r="S10" s="7">
        <f>IFERROR(ROUND(AVERAGEIFS(Datos!$G$2:$G$26103,Datos!$E$2:$E$26103,$A10,Datos!$B$2:$B$26103,16,Datos!$C$2:$C$26103,"&gt;=30",Datos!$F$2:$F$26103,"STANDBY"),0),"")</f>
        <v/>
      </c>
      <c r="T10" s="7">
        <f>IFERROR(ROUND(AVERAGEIFS(Datos!$G$2:$G$26103,Datos!$E$2:$E$26103,$A10,Datos!$B$2:$B$26103,17,Datos!$C$2:$C$26103,"&lt;30",Datos!$F$2:$F$26103,"STANDBY"),0),"")</f>
        <v/>
      </c>
      <c r="U10" s="7">
        <f>IFERROR(ROUND(AVERAGEIFS(Datos!$G$2:$G$26103,Datos!$E$2:$E$26103,$A10,Datos!$B$2:$B$26103,17,Datos!$C$2:$C$26103,"&gt;=30",Datos!$F$2:$F$26103,"STANDBY"),0),"")</f>
        <v/>
      </c>
      <c r="V10" s="7">
        <f>IFERROR(ROUND(AVERAGEIFS(Datos!$G$2:$G$26103,Datos!$E$2:$E$26103,$A10,Datos!$B$2:$B$26103,18,Datos!$C$2:$C$26103,"&lt;30",Datos!$F$2:$F$26103,"STANDBY"),0),"")</f>
        <v/>
      </c>
      <c r="W10" s="7">
        <f>IFERROR(ROUND(AVERAGEIFS(Datos!$G$2:$G$26103,Datos!$E$2:$E$26103,$A10,Datos!$B$2:$B$26103,18,Datos!$C$2:$C$26103,"&gt;=30",Datos!$F$2:$F$26103,"STANDBY"),0),"")</f>
        <v/>
      </c>
      <c r="X10" s="7">
        <f>IFERROR(ROUND(AVERAGEIFS(Datos!$G$2:$G$26103,Datos!$E$2:$E$26103,$A10,Datos!$B$2:$B$26103,19,Datos!$C$2:$C$26103,"&lt;30",Datos!$F$2:$F$26103,"STANDBY"),0),"")</f>
        <v/>
      </c>
      <c r="Y10" s="7">
        <f>IFERROR(ROUND(AVERAGEIFS(Datos!$G$2:$G$26103,Datos!$E$2:$E$26103,$A10,Datos!$B$2:$B$26103,19,Datos!$C$2:$C$26103,"&gt;=30",Datos!$F$2:$F$26103,"STANDBY"),0),"")</f>
        <v/>
      </c>
      <c r="Z10" s="7">
        <f>IFERROR(ROUND(AVERAGEIFS(Datos!$G$2:$G$26103,Datos!$E$2:$E$26103,$A10,Datos!$B$2:$B$26103,20,Datos!$C$2:$C$26103,"&lt;30",Datos!$F$2:$F$26103,"STANDBY"),0),"")</f>
        <v/>
      </c>
      <c r="AA10" s="7">
        <f>IFERROR(ROUND(AVERAGEIFS(Datos!$G$2:$G$26103,Datos!$E$2:$E$26103,$A10,Datos!$B$2:$B$26103,20,Datos!$C$2:$C$26103,"&gt;=30",Datos!$F$2:$F$26103,"STANDBY"),0),"")</f>
        <v/>
      </c>
      <c r="AB10" s="7">
        <f>IFERROR(ROUND(AVERAGEIFS(Datos!$G$2:$G$26103,Datos!$E$2:$E$26103,$A10,Datos!$B$2:$B$26103,21,Datos!$C$2:$C$26103,"&lt;30",Datos!$F$2:$F$26103,"STANDBY"),0),"")</f>
        <v/>
      </c>
      <c r="AC10" s="7">
        <f>IFERROR(ROUND(AVERAGEIFS(Datos!$G$2:$G$26103,Datos!$E$2:$E$26103,$A10,Datos!$B$2:$B$26103,21,Datos!$C$2:$C$26103,"&gt;=30",Datos!$F$2:$F$26103,"STANDBY"),0),"")</f>
        <v/>
      </c>
      <c r="AD10" s="7">
        <f>IFERROR(ROUND(AVERAGEIFS(Datos!$G$2:$G$26103,Datos!$E$2:$E$26103,$A10,Datos!$B$2:$B$26103,22,Datos!$C$2:$C$26103,"&lt;30",Datos!$F$2:$F$26103,"STANDBY"),0),"")</f>
        <v/>
      </c>
      <c r="AE10" s="7">
        <f>IFERROR(ROUND(AVERAGEIFS(Datos!$G$2:$G$26103,Datos!$E$2:$E$26103,$A10,Datos!$B$2:$B$26103,22,Datos!$C$2:$C$26103,"&gt;=30",Datos!$F$2:$F$26103,"STANDBY"),0),"")</f>
        <v/>
      </c>
      <c r="AF10" s="7">
        <f>IFERROR(ROUND(AVERAGEIFS(Datos!$G$2:$G$26103,Datos!$E$2:$E$26103,$A10,Datos!$B$2:$B$26103,23,Datos!$C$2:$C$26103,"&lt;30",Datos!$F$2:$F$26103,"STANDBY"),0),"")</f>
        <v/>
      </c>
      <c r="AG10" s="7">
        <f>IFERROR(ROUND(AVERAGEIFS(Datos!$G$2:$G$26103,Datos!$E$2:$E$26103,$A10,Datos!$B$2:$B$26103,23,Datos!$C$2:$C$26103,"&gt;=30",Datos!$F$2:$F$26103,"STANDBY"),0),"")</f>
        <v/>
      </c>
    </row>
    <row r="11">
      <c r="A11" s="6" t="inlineStr">
        <is>
          <t>Entry to World of Frozen</t>
        </is>
      </c>
      <c r="B11" s="7">
        <f>IFERROR(ROUND(AVERAGEIFS(Datos!$G$2:$G$26103,Datos!$E$2:$E$26103,$A11,Datos!$B$2:$B$26103,8,Datos!$C$2:$C$26103,"&lt;30",Datos!$F$2:$F$26103,"STANDBY"),0),"")</f>
        <v/>
      </c>
      <c r="C11" s="7">
        <f>IFERROR(ROUND(AVERAGEIFS(Datos!$G$2:$G$26103,Datos!$E$2:$E$26103,$A11,Datos!$B$2:$B$26103,8,Datos!$C$2:$C$26103,"&gt;=30",Datos!$F$2:$F$26103,"STANDBY"),0),"")</f>
        <v/>
      </c>
      <c r="D11" s="7">
        <f>IFERROR(ROUND(AVERAGEIFS(Datos!$G$2:$G$26103,Datos!$E$2:$E$26103,$A11,Datos!$B$2:$B$26103,9,Datos!$C$2:$C$26103,"&lt;30",Datos!$F$2:$F$26103,"STANDBY"),0),"")</f>
        <v/>
      </c>
      <c r="E11" s="7">
        <f>IFERROR(ROUND(AVERAGEIFS(Datos!$G$2:$G$26103,Datos!$E$2:$E$26103,$A11,Datos!$B$2:$B$26103,9,Datos!$C$2:$C$26103,"&gt;=30",Datos!$F$2:$F$26103,"STANDBY"),0),"")</f>
        <v/>
      </c>
      <c r="F11" s="7">
        <f>IFERROR(ROUND(AVERAGEIFS(Datos!$G$2:$G$26103,Datos!$E$2:$E$26103,$A11,Datos!$B$2:$B$26103,10,Datos!$C$2:$C$26103,"&lt;30",Datos!$F$2:$F$26103,"STANDBY"),0),"")</f>
        <v/>
      </c>
      <c r="G11" s="7">
        <f>IFERROR(ROUND(AVERAGEIFS(Datos!$G$2:$G$26103,Datos!$E$2:$E$26103,$A11,Datos!$B$2:$B$26103,10,Datos!$C$2:$C$26103,"&gt;=30",Datos!$F$2:$F$26103,"STANDBY"),0),"")</f>
        <v/>
      </c>
      <c r="H11" s="7">
        <f>IFERROR(ROUND(AVERAGEIFS(Datos!$G$2:$G$26103,Datos!$E$2:$E$26103,$A11,Datos!$B$2:$B$26103,11,Datos!$C$2:$C$26103,"&lt;30",Datos!$F$2:$F$26103,"STANDBY"),0),"")</f>
        <v/>
      </c>
      <c r="I11" s="7">
        <f>IFERROR(ROUND(AVERAGEIFS(Datos!$G$2:$G$26103,Datos!$E$2:$E$26103,$A11,Datos!$B$2:$B$26103,11,Datos!$C$2:$C$26103,"&gt;=30",Datos!$F$2:$F$26103,"STANDBY"),0),"")</f>
        <v/>
      </c>
      <c r="J11" s="7">
        <f>IFERROR(ROUND(AVERAGEIFS(Datos!$G$2:$G$26103,Datos!$E$2:$E$26103,$A11,Datos!$B$2:$B$26103,12,Datos!$C$2:$C$26103,"&lt;30",Datos!$F$2:$F$26103,"STANDBY"),0),"")</f>
        <v/>
      </c>
      <c r="K11" s="7">
        <f>IFERROR(ROUND(AVERAGEIFS(Datos!$G$2:$G$26103,Datos!$E$2:$E$26103,$A11,Datos!$B$2:$B$26103,12,Datos!$C$2:$C$26103,"&gt;=30",Datos!$F$2:$F$26103,"STANDBY"),0),"")</f>
        <v/>
      </c>
      <c r="L11" s="7">
        <f>IFERROR(ROUND(AVERAGEIFS(Datos!$G$2:$G$26103,Datos!$E$2:$E$26103,$A11,Datos!$B$2:$B$26103,13,Datos!$C$2:$C$26103,"&lt;30",Datos!$F$2:$F$26103,"STANDBY"),0),"")</f>
        <v/>
      </c>
      <c r="M11" s="7">
        <f>IFERROR(ROUND(AVERAGEIFS(Datos!$G$2:$G$26103,Datos!$E$2:$E$26103,$A11,Datos!$B$2:$B$26103,13,Datos!$C$2:$C$26103,"&gt;=30",Datos!$F$2:$F$26103,"STANDBY"),0),"")</f>
        <v/>
      </c>
      <c r="N11" s="7">
        <f>IFERROR(ROUND(AVERAGEIFS(Datos!$G$2:$G$26103,Datos!$E$2:$E$26103,$A11,Datos!$B$2:$B$26103,14,Datos!$C$2:$C$26103,"&lt;30",Datos!$F$2:$F$26103,"STANDBY"),0),"")</f>
        <v/>
      </c>
      <c r="O11" s="7">
        <f>IFERROR(ROUND(AVERAGEIFS(Datos!$G$2:$G$26103,Datos!$E$2:$E$26103,$A11,Datos!$B$2:$B$26103,14,Datos!$C$2:$C$26103,"&gt;=30",Datos!$F$2:$F$26103,"STANDBY"),0),"")</f>
        <v/>
      </c>
      <c r="P11" s="7">
        <f>IFERROR(ROUND(AVERAGEIFS(Datos!$G$2:$G$26103,Datos!$E$2:$E$26103,$A11,Datos!$B$2:$B$26103,15,Datos!$C$2:$C$26103,"&lt;30",Datos!$F$2:$F$26103,"STANDBY"),0),"")</f>
        <v/>
      </c>
      <c r="Q11" s="7">
        <f>IFERROR(ROUND(AVERAGEIFS(Datos!$G$2:$G$26103,Datos!$E$2:$E$26103,$A11,Datos!$B$2:$B$26103,15,Datos!$C$2:$C$26103,"&gt;=30",Datos!$F$2:$F$26103,"STANDBY"),0),"")</f>
        <v/>
      </c>
      <c r="R11" s="7">
        <f>IFERROR(ROUND(AVERAGEIFS(Datos!$G$2:$G$26103,Datos!$E$2:$E$26103,$A11,Datos!$B$2:$B$26103,16,Datos!$C$2:$C$26103,"&lt;30",Datos!$F$2:$F$26103,"STANDBY"),0),"")</f>
        <v/>
      </c>
      <c r="S11" s="7">
        <f>IFERROR(ROUND(AVERAGEIFS(Datos!$G$2:$G$26103,Datos!$E$2:$E$26103,$A11,Datos!$B$2:$B$26103,16,Datos!$C$2:$C$26103,"&gt;=30",Datos!$F$2:$F$26103,"STANDBY"),0),"")</f>
        <v/>
      </c>
      <c r="T11" s="7">
        <f>IFERROR(ROUND(AVERAGEIFS(Datos!$G$2:$G$26103,Datos!$E$2:$E$26103,$A11,Datos!$B$2:$B$26103,17,Datos!$C$2:$C$26103,"&lt;30",Datos!$F$2:$F$26103,"STANDBY"),0),"")</f>
        <v/>
      </c>
      <c r="U11" s="7">
        <f>IFERROR(ROUND(AVERAGEIFS(Datos!$G$2:$G$26103,Datos!$E$2:$E$26103,$A11,Datos!$B$2:$B$26103,17,Datos!$C$2:$C$26103,"&gt;=30",Datos!$F$2:$F$26103,"STANDBY"),0),"")</f>
        <v/>
      </c>
      <c r="V11" s="7">
        <f>IFERROR(ROUND(AVERAGEIFS(Datos!$G$2:$G$26103,Datos!$E$2:$E$26103,$A11,Datos!$B$2:$B$26103,18,Datos!$C$2:$C$26103,"&lt;30",Datos!$F$2:$F$26103,"STANDBY"),0),"")</f>
        <v/>
      </c>
      <c r="W11" s="7">
        <f>IFERROR(ROUND(AVERAGEIFS(Datos!$G$2:$G$26103,Datos!$E$2:$E$26103,$A11,Datos!$B$2:$B$26103,18,Datos!$C$2:$C$26103,"&gt;=30",Datos!$F$2:$F$26103,"STANDBY"),0),"")</f>
        <v/>
      </c>
      <c r="X11" s="7">
        <f>IFERROR(ROUND(AVERAGEIFS(Datos!$G$2:$G$26103,Datos!$E$2:$E$26103,$A11,Datos!$B$2:$B$26103,19,Datos!$C$2:$C$26103,"&lt;30",Datos!$F$2:$F$26103,"STANDBY"),0),"")</f>
        <v/>
      </c>
      <c r="Y11" s="7">
        <f>IFERROR(ROUND(AVERAGEIFS(Datos!$G$2:$G$26103,Datos!$E$2:$E$26103,$A11,Datos!$B$2:$B$26103,19,Datos!$C$2:$C$26103,"&gt;=30",Datos!$F$2:$F$26103,"STANDBY"),0),"")</f>
        <v/>
      </c>
      <c r="Z11" s="7">
        <f>IFERROR(ROUND(AVERAGEIFS(Datos!$G$2:$G$26103,Datos!$E$2:$E$26103,$A11,Datos!$B$2:$B$26103,20,Datos!$C$2:$C$26103,"&lt;30",Datos!$F$2:$F$26103,"STANDBY"),0),"")</f>
        <v/>
      </c>
      <c r="AA11" s="7">
        <f>IFERROR(ROUND(AVERAGEIFS(Datos!$G$2:$G$26103,Datos!$E$2:$E$26103,$A11,Datos!$B$2:$B$26103,20,Datos!$C$2:$C$26103,"&gt;=30",Datos!$F$2:$F$26103,"STANDBY"),0),"")</f>
        <v/>
      </c>
      <c r="AB11" s="7">
        <f>IFERROR(ROUND(AVERAGEIFS(Datos!$G$2:$G$26103,Datos!$E$2:$E$26103,$A11,Datos!$B$2:$B$26103,21,Datos!$C$2:$C$26103,"&lt;30",Datos!$F$2:$F$26103,"STANDBY"),0),"")</f>
        <v/>
      </c>
      <c r="AC11" s="7">
        <f>IFERROR(ROUND(AVERAGEIFS(Datos!$G$2:$G$26103,Datos!$E$2:$E$26103,$A11,Datos!$B$2:$B$26103,21,Datos!$C$2:$C$26103,"&gt;=30",Datos!$F$2:$F$26103,"STANDBY"),0),"")</f>
        <v/>
      </c>
      <c r="AD11" s="7">
        <f>IFERROR(ROUND(AVERAGEIFS(Datos!$G$2:$G$26103,Datos!$E$2:$E$26103,$A11,Datos!$B$2:$B$26103,22,Datos!$C$2:$C$26103,"&lt;30",Datos!$F$2:$F$26103,"STANDBY"),0),"")</f>
        <v/>
      </c>
      <c r="AE11" s="7">
        <f>IFERROR(ROUND(AVERAGEIFS(Datos!$G$2:$G$26103,Datos!$E$2:$E$26103,$A11,Datos!$B$2:$B$26103,22,Datos!$C$2:$C$26103,"&gt;=30",Datos!$F$2:$F$26103,"STANDBY"),0),"")</f>
        <v/>
      </c>
      <c r="AF11" s="7">
        <f>IFERROR(ROUND(AVERAGEIFS(Datos!$G$2:$G$26103,Datos!$E$2:$E$26103,$A11,Datos!$B$2:$B$26103,23,Datos!$C$2:$C$26103,"&lt;30",Datos!$F$2:$F$26103,"STANDBY"),0),"")</f>
        <v/>
      </c>
      <c r="AG11" s="7">
        <f>IFERROR(ROUND(AVERAGEIFS(Datos!$G$2:$G$26103,Datos!$E$2:$E$26103,$A11,Datos!$B$2:$B$26103,23,Datos!$C$2:$C$26103,"&gt;=30",Datos!$F$2:$F$26103,"STANDBY"),0),"")</f>
        <v/>
      </c>
    </row>
    <row r="12">
      <c r="A12" s="6" t="inlineStr">
        <is>
          <t>Frozen Ever After</t>
        </is>
      </c>
      <c r="B12" s="7">
        <f>IFERROR(ROUND(AVERAGEIFS(Datos!$G$2:$G$26103,Datos!$E$2:$E$26103,$A12,Datos!$B$2:$B$26103,8,Datos!$C$2:$C$26103,"&lt;30",Datos!$F$2:$F$26103,"STANDBY"),0),"")</f>
        <v/>
      </c>
      <c r="C12" s="7">
        <f>IFERROR(ROUND(AVERAGEIFS(Datos!$G$2:$G$26103,Datos!$E$2:$E$26103,$A12,Datos!$B$2:$B$26103,8,Datos!$C$2:$C$26103,"&gt;=30",Datos!$F$2:$F$26103,"STANDBY"),0),"")</f>
        <v/>
      </c>
      <c r="D12" s="7">
        <f>IFERROR(ROUND(AVERAGEIFS(Datos!$G$2:$G$26103,Datos!$E$2:$E$26103,$A12,Datos!$B$2:$B$26103,9,Datos!$C$2:$C$26103,"&lt;30",Datos!$F$2:$F$26103,"STANDBY"),0),"")</f>
        <v/>
      </c>
      <c r="E12" s="7">
        <f>IFERROR(ROUND(AVERAGEIFS(Datos!$G$2:$G$26103,Datos!$E$2:$E$26103,$A12,Datos!$B$2:$B$26103,9,Datos!$C$2:$C$26103,"&gt;=30",Datos!$F$2:$F$26103,"STANDBY"),0),"")</f>
        <v/>
      </c>
      <c r="F12" s="7">
        <f>IFERROR(ROUND(AVERAGEIFS(Datos!$G$2:$G$26103,Datos!$E$2:$E$26103,$A12,Datos!$B$2:$B$26103,10,Datos!$C$2:$C$26103,"&lt;30",Datos!$F$2:$F$26103,"STANDBY"),0),"")</f>
        <v/>
      </c>
      <c r="G12" s="7">
        <f>IFERROR(ROUND(AVERAGEIFS(Datos!$G$2:$G$26103,Datos!$E$2:$E$26103,$A12,Datos!$B$2:$B$26103,10,Datos!$C$2:$C$26103,"&gt;=30",Datos!$F$2:$F$26103,"STANDBY"),0),"")</f>
        <v/>
      </c>
      <c r="H12" s="7">
        <f>IFERROR(ROUND(AVERAGEIFS(Datos!$G$2:$G$26103,Datos!$E$2:$E$26103,$A12,Datos!$B$2:$B$26103,11,Datos!$C$2:$C$26103,"&lt;30",Datos!$F$2:$F$26103,"STANDBY"),0),"")</f>
        <v/>
      </c>
      <c r="I12" s="7">
        <f>IFERROR(ROUND(AVERAGEIFS(Datos!$G$2:$G$26103,Datos!$E$2:$E$26103,$A12,Datos!$B$2:$B$26103,11,Datos!$C$2:$C$26103,"&gt;=30",Datos!$F$2:$F$26103,"STANDBY"),0),"")</f>
        <v/>
      </c>
      <c r="J12" s="7">
        <f>IFERROR(ROUND(AVERAGEIFS(Datos!$G$2:$G$26103,Datos!$E$2:$E$26103,$A12,Datos!$B$2:$B$26103,12,Datos!$C$2:$C$26103,"&lt;30",Datos!$F$2:$F$26103,"STANDBY"),0),"")</f>
        <v/>
      </c>
      <c r="K12" s="7">
        <f>IFERROR(ROUND(AVERAGEIFS(Datos!$G$2:$G$26103,Datos!$E$2:$E$26103,$A12,Datos!$B$2:$B$26103,12,Datos!$C$2:$C$26103,"&gt;=30",Datos!$F$2:$F$26103,"STANDBY"),0),"")</f>
        <v/>
      </c>
      <c r="L12" s="7">
        <f>IFERROR(ROUND(AVERAGEIFS(Datos!$G$2:$G$26103,Datos!$E$2:$E$26103,$A12,Datos!$B$2:$B$26103,13,Datos!$C$2:$C$26103,"&lt;30",Datos!$F$2:$F$26103,"STANDBY"),0),"")</f>
        <v/>
      </c>
      <c r="M12" s="7">
        <f>IFERROR(ROUND(AVERAGEIFS(Datos!$G$2:$G$26103,Datos!$E$2:$E$26103,$A12,Datos!$B$2:$B$26103,13,Datos!$C$2:$C$26103,"&gt;=30",Datos!$F$2:$F$26103,"STANDBY"),0),"")</f>
        <v/>
      </c>
      <c r="N12" s="7">
        <f>IFERROR(ROUND(AVERAGEIFS(Datos!$G$2:$G$26103,Datos!$E$2:$E$26103,$A12,Datos!$B$2:$B$26103,14,Datos!$C$2:$C$26103,"&lt;30",Datos!$F$2:$F$26103,"STANDBY"),0),"")</f>
        <v/>
      </c>
      <c r="O12" s="7">
        <f>IFERROR(ROUND(AVERAGEIFS(Datos!$G$2:$G$26103,Datos!$E$2:$E$26103,$A12,Datos!$B$2:$B$26103,14,Datos!$C$2:$C$26103,"&gt;=30",Datos!$F$2:$F$26103,"STANDBY"),0),"")</f>
        <v/>
      </c>
      <c r="P12" s="7">
        <f>IFERROR(ROUND(AVERAGEIFS(Datos!$G$2:$G$26103,Datos!$E$2:$E$26103,$A12,Datos!$B$2:$B$26103,15,Datos!$C$2:$C$26103,"&lt;30",Datos!$F$2:$F$26103,"STANDBY"),0),"")</f>
        <v/>
      </c>
      <c r="Q12" s="7">
        <f>IFERROR(ROUND(AVERAGEIFS(Datos!$G$2:$G$26103,Datos!$E$2:$E$26103,$A12,Datos!$B$2:$B$26103,15,Datos!$C$2:$C$26103,"&gt;=30",Datos!$F$2:$F$26103,"STANDBY"),0),"")</f>
        <v/>
      </c>
      <c r="R12" s="7">
        <f>IFERROR(ROUND(AVERAGEIFS(Datos!$G$2:$G$26103,Datos!$E$2:$E$26103,$A12,Datos!$B$2:$B$26103,16,Datos!$C$2:$C$26103,"&lt;30",Datos!$F$2:$F$26103,"STANDBY"),0),"")</f>
        <v/>
      </c>
      <c r="S12" s="7">
        <f>IFERROR(ROUND(AVERAGEIFS(Datos!$G$2:$G$26103,Datos!$E$2:$E$26103,$A12,Datos!$B$2:$B$26103,16,Datos!$C$2:$C$26103,"&gt;=30",Datos!$F$2:$F$26103,"STANDBY"),0),"")</f>
        <v/>
      </c>
      <c r="T12" s="7">
        <f>IFERROR(ROUND(AVERAGEIFS(Datos!$G$2:$G$26103,Datos!$E$2:$E$26103,$A12,Datos!$B$2:$B$26103,17,Datos!$C$2:$C$26103,"&lt;30",Datos!$F$2:$F$26103,"STANDBY"),0),"")</f>
        <v/>
      </c>
      <c r="U12" s="7">
        <f>IFERROR(ROUND(AVERAGEIFS(Datos!$G$2:$G$26103,Datos!$E$2:$E$26103,$A12,Datos!$B$2:$B$26103,17,Datos!$C$2:$C$26103,"&gt;=30",Datos!$F$2:$F$26103,"STANDBY"),0),"")</f>
        <v/>
      </c>
      <c r="V12" s="7">
        <f>IFERROR(ROUND(AVERAGEIFS(Datos!$G$2:$G$26103,Datos!$E$2:$E$26103,$A12,Datos!$B$2:$B$26103,18,Datos!$C$2:$C$26103,"&lt;30",Datos!$F$2:$F$26103,"STANDBY"),0),"")</f>
        <v/>
      </c>
      <c r="W12" s="7">
        <f>IFERROR(ROUND(AVERAGEIFS(Datos!$G$2:$G$26103,Datos!$E$2:$E$26103,$A12,Datos!$B$2:$B$26103,18,Datos!$C$2:$C$26103,"&gt;=30",Datos!$F$2:$F$26103,"STANDBY"),0),"")</f>
        <v/>
      </c>
      <c r="X12" s="7">
        <f>IFERROR(ROUND(AVERAGEIFS(Datos!$G$2:$G$26103,Datos!$E$2:$E$26103,$A12,Datos!$B$2:$B$26103,19,Datos!$C$2:$C$26103,"&lt;30",Datos!$F$2:$F$26103,"STANDBY"),0),"")</f>
        <v/>
      </c>
      <c r="Y12" s="7">
        <f>IFERROR(ROUND(AVERAGEIFS(Datos!$G$2:$G$26103,Datos!$E$2:$E$26103,$A12,Datos!$B$2:$B$26103,19,Datos!$C$2:$C$26103,"&gt;=30",Datos!$F$2:$F$26103,"STANDBY"),0),"")</f>
        <v/>
      </c>
      <c r="Z12" s="7">
        <f>IFERROR(ROUND(AVERAGEIFS(Datos!$G$2:$G$26103,Datos!$E$2:$E$26103,$A12,Datos!$B$2:$B$26103,20,Datos!$C$2:$C$26103,"&lt;30",Datos!$F$2:$F$26103,"STANDBY"),0),"")</f>
        <v/>
      </c>
      <c r="AA12" s="7">
        <f>IFERROR(ROUND(AVERAGEIFS(Datos!$G$2:$G$26103,Datos!$E$2:$E$26103,$A12,Datos!$B$2:$B$26103,20,Datos!$C$2:$C$26103,"&gt;=30",Datos!$F$2:$F$26103,"STANDBY"),0),"")</f>
        <v/>
      </c>
      <c r="AB12" s="7">
        <f>IFERROR(ROUND(AVERAGEIFS(Datos!$G$2:$G$26103,Datos!$E$2:$E$26103,$A12,Datos!$B$2:$B$26103,21,Datos!$C$2:$C$26103,"&lt;30",Datos!$F$2:$F$26103,"STANDBY"),0),"")</f>
        <v/>
      </c>
      <c r="AC12" s="7">
        <f>IFERROR(ROUND(AVERAGEIFS(Datos!$G$2:$G$26103,Datos!$E$2:$E$26103,$A12,Datos!$B$2:$B$26103,21,Datos!$C$2:$C$26103,"&gt;=30",Datos!$F$2:$F$26103,"STANDBY"),0),"")</f>
        <v/>
      </c>
      <c r="AD12" s="7">
        <f>IFERROR(ROUND(AVERAGEIFS(Datos!$G$2:$G$26103,Datos!$E$2:$E$26103,$A12,Datos!$B$2:$B$26103,22,Datos!$C$2:$C$26103,"&lt;30",Datos!$F$2:$F$26103,"STANDBY"),0),"")</f>
        <v/>
      </c>
      <c r="AE12" s="7">
        <f>IFERROR(ROUND(AVERAGEIFS(Datos!$G$2:$G$26103,Datos!$E$2:$E$26103,$A12,Datos!$B$2:$B$26103,22,Datos!$C$2:$C$26103,"&gt;=30",Datos!$F$2:$F$26103,"STANDBY"),0),"")</f>
        <v/>
      </c>
      <c r="AF12" s="7">
        <f>IFERROR(ROUND(AVERAGEIFS(Datos!$G$2:$G$26103,Datos!$E$2:$E$26103,$A12,Datos!$B$2:$B$26103,23,Datos!$C$2:$C$26103,"&lt;30",Datos!$F$2:$F$26103,"STANDBY"),0),"")</f>
        <v/>
      </c>
      <c r="AG12" s="7">
        <f>IFERROR(ROUND(AVERAGEIFS(Datos!$G$2:$G$26103,Datos!$E$2:$E$26103,$A12,Datos!$B$2:$B$26103,23,Datos!$C$2:$C$26103,"&gt;=30",Datos!$F$2:$F$26103,"STANDBY"),0),"")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IFERROR(ROUND(AVERAGEIFS(Datos!$G$2:$G$26103,Datos!$E$2:$E$26103,$A13,Datos!$B$2:$B$26103,8,Datos!$C$2:$C$26103,"&lt;30",Datos!$F$2:$F$26103,"STANDBY"),0),"")</f>
        <v/>
      </c>
      <c r="C13" s="7">
        <f>IFERROR(ROUND(AVERAGEIFS(Datos!$G$2:$G$26103,Datos!$E$2:$E$26103,$A13,Datos!$B$2:$B$26103,8,Datos!$C$2:$C$26103,"&gt;=30",Datos!$F$2:$F$26103,"STANDBY"),0),"")</f>
        <v/>
      </c>
      <c r="D13" s="7">
        <f>IFERROR(ROUND(AVERAGEIFS(Datos!$G$2:$G$26103,Datos!$E$2:$E$26103,$A13,Datos!$B$2:$B$26103,9,Datos!$C$2:$C$26103,"&lt;30",Datos!$F$2:$F$26103,"STANDBY"),0),"")</f>
        <v/>
      </c>
      <c r="E13" s="7">
        <f>IFERROR(ROUND(AVERAGEIFS(Datos!$G$2:$G$26103,Datos!$E$2:$E$26103,$A13,Datos!$B$2:$B$26103,9,Datos!$C$2:$C$26103,"&gt;=30",Datos!$F$2:$F$26103,"STANDBY"),0),"")</f>
        <v/>
      </c>
      <c r="F13" s="7">
        <f>IFERROR(ROUND(AVERAGEIFS(Datos!$G$2:$G$26103,Datos!$E$2:$E$26103,$A13,Datos!$B$2:$B$26103,10,Datos!$C$2:$C$26103,"&lt;30",Datos!$F$2:$F$26103,"STANDBY"),0),"")</f>
        <v/>
      </c>
      <c r="G13" s="7">
        <f>IFERROR(ROUND(AVERAGEIFS(Datos!$G$2:$G$26103,Datos!$E$2:$E$26103,$A13,Datos!$B$2:$B$26103,10,Datos!$C$2:$C$26103,"&gt;=30",Datos!$F$2:$F$26103,"STANDBY"),0),"")</f>
        <v/>
      </c>
      <c r="H13" s="7">
        <f>IFERROR(ROUND(AVERAGEIFS(Datos!$G$2:$G$26103,Datos!$E$2:$E$26103,$A13,Datos!$B$2:$B$26103,11,Datos!$C$2:$C$26103,"&lt;30",Datos!$F$2:$F$26103,"STANDBY"),0),"")</f>
        <v/>
      </c>
      <c r="I13" s="7">
        <f>IFERROR(ROUND(AVERAGEIFS(Datos!$G$2:$G$26103,Datos!$E$2:$E$26103,$A13,Datos!$B$2:$B$26103,11,Datos!$C$2:$C$26103,"&gt;=30",Datos!$F$2:$F$26103,"STANDBY"),0),"")</f>
        <v/>
      </c>
      <c r="J13" s="7">
        <f>IFERROR(ROUND(AVERAGEIFS(Datos!$G$2:$G$26103,Datos!$E$2:$E$26103,$A13,Datos!$B$2:$B$26103,12,Datos!$C$2:$C$26103,"&lt;30",Datos!$F$2:$F$26103,"STANDBY"),0),"")</f>
        <v/>
      </c>
      <c r="K13" s="7">
        <f>IFERROR(ROUND(AVERAGEIFS(Datos!$G$2:$G$26103,Datos!$E$2:$E$26103,$A13,Datos!$B$2:$B$26103,12,Datos!$C$2:$C$26103,"&gt;=30",Datos!$F$2:$F$26103,"STANDBY"),0),"")</f>
        <v/>
      </c>
      <c r="L13" s="7">
        <f>IFERROR(ROUND(AVERAGEIFS(Datos!$G$2:$G$26103,Datos!$E$2:$E$26103,$A13,Datos!$B$2:$B$26103,13,Datos!$C$2:$C$26103,"&lt;30",Datos!$F$2:$F$26103,"STANDBY"),0),"")</f>
        <v/>
      </c>
      <c r="M13" s="7">
        <f>IFERROR(ROUND(AVERAGEIFS(Datos!$G$2:$G$26103,Datos!$E$2:$E$26103,$A13,Datos!$B$2:$B$26103,13,Datos!$C$2:$C$26103,"&gt;=30",Datos!$F$2:$F$26103,"STANDBY"),0),"")</f>
        <v/>
      </c>
      <c r="N13" s="7">
        <f>IFERROR(ROUND(AVERAGEIFS(Datos!$G$2:$G$26103,Datos!$E$2:$E$26103,$A13,Datos!$B$2:$B$26103,14,Datos!$C$2:$C$26103,"&lt;30",Datos!$F$2:$F$26103,"STANDBY"),0),"")</f>
        <v/>
      </c>
      <c r="O13" s="7">
        <f>IFERROR(ROUND(AVERAGEIFS(Datos!$G$2:$G$26103,Datos!$E$2:$E$26103,$A13,Datos!$B$2:$B$26103,14,Datos!$C$2:$C$26103,"&gt;=30",Datos!$F$2:$F$26103,"STANDBY"),0),"")</f>
        <v/>
      </c>
      <c r="P13" s="7">
        <f>IFERROR(ROUND(AVERAGEIFS(Datos!$G$2:$G$26103,Datos!$E$2:$E$26103,$A13,Datos!$B$2:$B$26103,15,Datos!$C$2:$C$26103,"&lt;30",Datos!$F$2:$F$26103,"STANDBY"),0),"")</f>
        <v/>
      </c>
      <c r="Q13" s="7">
        <f>IFERROR(ROUND(AVERAGEIFS(Datos!$G$2:$G$26103,Datos!$E$2:$E$26103,$A13,Datos!$B$2:$B$26103,15,Datos!$C$2:$C$26103,"&gt;=30",Datos!$F$2:$F$26103,"STANDBY"),0),"")</f>
        <v/>
      </c>
      <c r="R13" s="7">
        <f>IFERROR(ROUND(AVERAGEIFS(Datos!$G$2:$G$26103,Datos!$E$2:$E$26103,$A13,Datos!$B$2:$B$26103,16,Datos!$C$2:$C$26103,"&lt;30",Datos!$F$2:$F$26103,"STANDBY"),0),"")</f>
        <v/>
      </c>
      <c r="S13" s="7">
        <f>IFERROR(ROUND(AVERAGEIFS(Datos!$G$2:$G$26103,Datos!$E$2:$E$26103,$A13,Datos!$B$2:$B$26103,16,Datos!$C$2:$C$26103,"&gt;=30",Datos!$F$2:$F$26103,"STANDBY"),0),"")</f>
        <v/>
      </c>
      <c r="T13" s="7">
        <f>IFERROR(ROUND(AVERAGEIFS(Datos!$G$2:$G$26103,Datos!$E$2:$E$26103,$A13,Datos!$B$2:$B$26103,17,Datos!$C$2:$C$26103,"&lt;30",Datos!$F$2:$F$26103,"STANDBY"),0),"")</f>
        <v/>
      </c>
      <c r="U13" s="7">
        <f>IFERROR(ROUND(AVERAGEIFS(Datos!$G$2:$G$26103,Datos!$E$2:$E$26103,$A13,Datos!$B$2:$B$26103,17,Datos!$C$2:$C$26103,"&gt;=30",Datos!$F$2:$F$26103,"STANDBY"),0),"")</f>
        <v/>
      </c>
      <c r="V13" s="7">
        <f>IFERROR(ROUND(AVERAGEIFS(Datos!$G$2:$G$26103,Datos!$E$2:$E$26103,$A13,Datos!$B$2:$B$26103,18,Datos!$C$2:$C$26103,"&lt;30",Datos!$F$2:$F$26103,"STANDBY"),0),"")</f>
        <v/>
      </c>
      <c r="W13" s="7">
        <f>IFERROR(ROUND(AVERAGEIFS(Datos!$G$2:$G$26103,Datos!$E$2:$E$26103,$A13,Datos!$B$2:$B$26103,18,Datos!$C$2:$C$26103,"&gt;=30",Datos!$F$2:$F$26103,"STANDBY"),0),"")</f>
        <v/>
      </c>
      <c r="X13" s="7">
        <f>IFERROR(ROUND(AVERAGEIFS(Datos!$G$2:$G$26103,Datos!$E$2:$E$26103,$A13,Datos!$B$2:$B$26103,19,Datos!$C$2:$C$26103,"&lt;30",Datos!$F$2:$F$26103,"STANDBY"),0),"")</f>
        <v/>
      </c>
      <c r="Y13" s="7">
        <f>IFERROR(ROUND(AVERAGEIFS(Datos!$G$2:$G$26103,Datos!$E$2:$E$26103,$A13,Datos!$B$2:$B$26103,19,Datos!$C$2:$C$26103,"&gt;=30",Datos!$F$2:$F$26103,"STANDBY"),0),"")</f>
        <v/>
      </c>
      <c r="Z13" s="7">
        <f>IFERROR(ROUND(AVERAGEIFS(Datos!$G$2:$G$26103,Datos!$E$2:$E$26103,$A13,Datos!$B$2:$B$26103,20,Datos!$C$2:$C$26103,"&lt;30",Datos!$F$2:$F$26103,"STANDBY"),0),"")</f>
        <v/>
      </c>
      <c r="AA13" s="7">
        <f>IFERROR(ROUND(AVERAGEIFS(Datos!$G$2:$G$26103,Datos!$E$2:$E$26103,$A13,Datos!$B$2:$B$26103,20,Datos!$C$2:$C$26103,"&gt;=30",Datos!$F$2:$F$26103,"STANDBY"),0),"")</f>
        <v/>
      </c>
      <c r="AB13" s="7">
        <f>IFERROR(ROUND(AVERAGEIFS(Datos!$G$2:$G$26103,Datos!$E$2:$E$26103,$A13,Datos!$B$2:$B$26103,21,Datos!$C$2:$C$26103,"&lt;30",Datos!$F$2:$F$26103,"STANDBY"),0),"")</f>
        <v/>
      </c>
      <c r="AC13" s="7">
        <f>IFERROR(ROUND(AVERAGEIFS(Datos!$G$2:$G$26103,Datos!$E$2:$E$26103,$A13,Datos!$B$2:$B$26103,21,Datos!$C$2:$C$26103,"&gt;=30",Datos!$F$2:$F$26103,"STANDBY"),0),"")</f>
        <v/>
      </c>
      <c r="AD13" s="7">
        <f>IFERROR(ROUND(AVERAGEIFS(Datos!$G$2:$G$26103,Datos!$E$2:$E$26103,$A13,Datos!$B$2:$B$26103,22,Datos!$C$2:$C$26103,"&lt;30",Datos!$F$2:$F$26103,"STANDBY"),0),"")</f>
        <v/>
      </c>
      <c r="AE13" s="7">
        <f>IFERROR(ROUND(AVERAGEIFS(Datos!$G$2:$G$26103,Datos!$E$2:$E$26103,$A13,Datos!$B$2:$B$26103,22,Datos!$C$2:$C$26103,"&gt;=30",Datos!$F$2:$F$26103,"STANDBY"),0),"")</f>
        <v/>
      </c>
      <c r="AF13" s="7">
        <f>IFERROR(ROUND(AVERAGEIFS(Datos!$G$2:$G$26103,Datos!$E$2:$E$26103,$A13,Datos!$B$2:$B$26103,23,Datos!$C$2:$C$26103,"&lt;30",Datos!$F$2:$F$26103,"STANDBY"),0),"")</f>
        <v/>
      </c>
      <c r="AG13" s="7">
        <f>IFERROR(ROUND(AVERAGEIFS(Datos!$G$2:$G$26103,Datos!$E$2:$E$26103,$A13,Datos!$B$2:$B$26103,23,Datos!$C$2:$C$26103,"&gt;=30",Datos!$F$2:$F$26103,"STANDBY"),0),"")</f>
        <v/>
      </c>
    </row>
    <row r="14">
      <c r="A14" s="6" t="inlineStr">
        <is>
          <t>RC Racer</t>
        </is>
      </c>
      <c r="B14" s="7">
        <f>IFERROR(ROUND(AVERAGEIFS(Datos!$G$2:$G$26103,Datos!$E$2:$E$26103,$A14,Datos!$B$2:$B$26103,8,Datos!$C$2:$C$26103,"&lt;30",Datos!$F$2:$F$26103,"STANDBY"),0),"")</f>
        <v/>
      </c>
      <c r="C14" s="7">
        <f>IFERROR(ROUND(AVERAGEIFS(Datos!$G$2:$G$26103,Datos!$E$2:$E$26103,$A14,Datos!$B$2:$B$26103,8,Datos!$C$2:$C$26103,"&gt;=30",Datos!$F$2:$F$26103,"STANDBY"),0),"")</f>
        <v/>
      </c>
      <c r="D14" s="7">
        <f>IFERROR(ROUND(AVERAGEIFS(Datos!$G$2:$G$26103,Datos!$E$2:$E$26103,$A14,Datos!$B$2:$B$26103,9,Datos!$C$2:$C$26103,"&lt;30",Datos!$F$2:$F$26103,"STANDBY"),0),"")</f>
        <v/>
      </c>
      <c r="E14" s="7">
        <f>IFERROR(ROUND(AVERAGEIFS(Datos!$G$2:$G$26103,Datos!$E$2:$E$26103,$A14,Datos!$B$2:$B$26103,9,Datos!$C$2:$C$26103,"&gt;=30",Datos!$F$2:$F$26103,"STANDBY"),0),"")</f>
        <v/>
      </c>
      <c r="F14" s="7">
        <f>IFERROR(ROUND(AVERAGEIFS(Datos!$G$2:$G$26103,Datos!$E$2:$E$26103,$A14,Datos!$B$2:$B$26103,10,Datos!$C$2:$C$26103,"&lt;30",Datos!$F$2:$F$26103,"STANDBY"),0),"")</f>
        <v/>
      </c>
      <c r="G14" s="7">
        <f>IFERROR(ROUND(AVERAGEIFS(Datos!$G$2:$G$26103,Datos!$E$2:$E$26103,$A14,Datos!$B$2:$B$26103,10,Datos!$C$2:$C$26103,"&gt;=30",Datos!$F$2:$F$26103,"STANDBY"),0),"")</f>
        <v/>
      </c>
      <c r="H14" s="7">
        <f>IFERROR(ROUND(AVERAGEIFS(Datos!$G$2:$G$26103,Datos!$E$2:$E$26103,$A14,Datos!$B$2:$B$26103,11,Datos!$C$2:$C$26103,"&lt;30",Datos!$F$2:$F$26103,"STANDBY"),0),"")</f>
        <v/>
      </c>
      <c r="I14" s="7">
        <f>IFERROR(ROUND(AVERAGEIFS(Datos!$G$2:$G$26103,Datos!$E$2:$E$26103,$A14,Datos!$B$2:$B$26103,11,Datos!$C$2:$C$26103,"&gt;=30",Datos!$F$2:$F$26103,"STANDBY"),0),"")</f>
        <v/>
      </c>
      <c r="J14" s="7">
        <f>IFERROR(ROUND(AVERAGEIFS(Datos!$G$2:$G$26103,Datos!$E$2:$E$26103,$A14,Datos!$B$2:$B$26103,12,Datos!$C$2:$C$26103,"&lt;30",Datos!$F$2:$F$26103,"STANDBY"),0),"")</f>
        <v/>
      </c>
      <c r="K14" s="7">
        <f>IFERROR(ROUND(AVERAGEIFS(Datos!$G$2:$G$26103,Datos!$E$2:$E$26103,$A14,Datos!$B$2:$B$26103,12,Datos!$C$2:$C$26103,"&gt;=30",Datos!$F$2:$F$26103,"STANDBY"),0),"")</f>
        <v/>
      </c>
      <c r="L14" s="7">
        <f>IFERROR(ROUND(AVERAGEIFS(Datos!$G$2:$G$26103,Datos!$E$2:$E$26103,$A14,Datos!$B$2:$B$26103,13,Datos!$C$2:$C$26103,"&lt;30",Datos!$F$2:$F$26103,"STANDBY"),0),"")</f>
        <v/>
      </c>
      <c r="M14" s="7">
        <f>IFERROR(ROUND(AVERAGEIFS(Datos!$G$2:$G$26103,Datos!$E$2:$E$26103,$A14,Datos!$B$2:$B$26103,13,Datos!$C$2:$C$26103,"&gt;=30",Datos!$F$2:$F$26103,"STANDBY"),0),"")</f>
        <v/>
      </c>
      <c r="N14" s="7">
        <f>IFERROR(ROUND(AVERAGEIFS(Datos!$G$2:$G$26103,Datos!$E$2:$E$26103,$A14,Datos!$B$2:$B$26103,14,Datos!$C$2:$C$26103,"&lt;30",Datos!$F$2:$F$26103,"STANDBY"),0),"")</f>
        <v/>
      </c>
      <c r="O14" s="7">
        <f>IFERROR(ROUND(AVERAGEIFS(Datos!$G$2:$G$26103,Datos!$E$2:$E$26103,$A14,Datos!$B$2:$B$26103,14,Datos!$C$2:$C$26103,"&gt;=30",Datos!$F$2:$F$26103,"STANDBY"),0),"")</f>
        <v/>
      </c>
      <c r="P14" s="7">
        <f>IFERROR(ROUND(AVERAGEIFS(Datos!$G$2:$G$26103,Datos!$E$2:$E$26103,$A14,Datos!$B$2:$B$26103,15,Datos!$C$2:$C$26103,"&lt;30",Datos!$F$2:$F$26103,"STANDBY"),0),"")</f>
        <v/>
      </c>
      <c r="Q14" s="7">
        <f>IFERROR(ROUND(AVERAGEIFS(Datos!$G$2:$G$26103,Datos!$E$2:$E$26103,$A14,Datos!$B$2:$B$26103,15,Datos!$C$2:$C$26103,"&gt;=30",Datos!$F$2:$F$26103,"STANDBY"),0),"")</f>
        <v/>
      </c>
      <c r="R14" s="7">
        <f>IFERROR(ROUND(AVERAGEIFS(Datos!$G$2:$G$26103,Datos!$E$2:$E$26103,$A14,Datos!$B$2:$B$26103,16,Datos!$C$2:$C$26103,"&lt;30",Datos!$F$2:$F$26103,"STANDBY"),0),"")</f>
        <v/>
      </c>
      <c r="S14" s="7">
        <f>IFERROR(ROUND(AVERAGEIFS(Datos!$G$2:$G$26103,Datos!$E$2:$E$26103,$A14,Datos!$B$2:$B$26103,16,Datos!$C$2:$C$26103,"&gt;=30",Datos!$F$2:$F$26103,"STANDBY"),0),"")</f>
        <v/>
      </c>
      <c r="T14" s="7">
        <f>IFERROR(ROUND(AVERAGEIFS(Datos!$G$2:$G$26103,Datos!$E$2:$E$26103,$A14,Datos!$B$2:$B$26103,17,Datos!$C$2:$C$26103,"&lt;30",Datos!$F$2:$F$26103,"STANDBY"),0),"")</f>
        <v/>
      </c>
      <c r="U14" s="7">
        <f>IFERROR(ROUND(AVERAGEIFS(Datos!$G$2:$G$26103,Datos!$E$2:$E$26103,$A14,Datos!$B$2:$B$26103,17,Datos!$C$2:$C$26103,"&gt;=30",Datos!$F$2:$F$26103,"STANDBY"),0),"")</f>
        <v/>
      </c>
      <c r="V14" s="7">
        <f>IFERROR(ROUND(AVERAGEIFS(Datos!$G$2:$G$26103,Datos!$E$2:$E$26103,$A14,Datos!$B$2:$B$26103,18,Datos!$C$2:$C$26103,"&lt;30",Datos!$F$2:$F$26103,"STANDBY"),0),"")</f>
        <v/>
      </c>
      <c r="W14" s="7">
        <f>IFERROR(ROUND(AVERAGEIFS(Datos!$G$2:$G$26103,Datos!$E$2:$E$26103,$A14,Datos!$B$2:$B$26103,18,Datos!$C$2:$C$26103,"&gt;=30",Datos!$F$2:$F$26103,"STANDBY"),0),"")</f>
        <v/>
      </c>
      <c r="X14" s="7">
        <f>IFERROR(ROUND(AVERAGEIFS(Datos!$G$2:$G$26103,Datos!$E$2:$E$26103,$A14,Datos!$B$2:$B$26103,19,Datos!$C$2:$C$26103,"&lt;30",Datos!$F$2:$F$26103,"STANDBY"),0),"")</f>
        <v/>
      </c>
      <c r="Y14" s="7">
        <f>IFERROR(ROUND(AVERAGEIFS(Datos!$G$2:$G$26103,Datos!$E$2:$E$26103,$A14,Datos!$B$2:$B$26103,19,Datos!$C$2:$C$26103,"&gt;=30",Datos!$F$2:$F$26103,"STANDBY"),0),"")</f>
        <v/>
      </c>
      <c r="Z14" s="7">
        <f>IFERROR(ROUND(AVERAGEIFS(Datos!$G$2:$G$26103,Datos!$E$2:$E$26103,$A14,Datos!$B$2:$B$26103,20,Datos!$C$2:$C$26103,"&lt;30",Datos!$F$2:$F$26103,"STANDBY"),0),"")</f>
        <v/>
      </c>
      <c r="AA14" s="7">
        <f>IFERROR(ROUND(AVERAGEIFS(Datos!$G$2:$G$26103,Datos!$E$2:$E$26103,$A14,Datos!$B$2:$B$26103,20,Datos!$C$2:$C$26103,"&gt;=30",Datos!$F$2:$F$26103,"STANDBY"),0),"")</f>
        <v/>
      </c>
      <c r="AB14" s="7">
        <f>IFERROR(ROUND(AVERAGEIFS(Datos!$G$2:$G$26103,Datos!$E$2:$E$26103,$A14,Datos!$B$2:$B$26103,21,Datos!$C$2:$C$26103,"&lt;30",Datos!$F$2:$F$26103,"STANDBY"),0),"")</f>
        <v/>
      </c>
      <c r="AC14" s="7">
        <f>IFERROR(ROUND(AVERAGEIFS(Datos!$G$2:$G$26103,Datos!$E$2:$E$26103,$A14,Datos!$B$2:$B$26103,21,Datos!$C$2:$C$26103,"&gt;=30",Datos!$F$2:$F$26103,"STANDBY"),0),"")</f>
        <v/>
      </c>
      <c r="AD14" s="7">
        <f>IFERROR(ROUND(AVERAGEIFS(Datos!$G$2:$G$26103,Datos!$E$2:$E$26103,$A14,Datos!$B$2:$B$26103,22,Datos!$C$2:$C$26103,"&lt;30",Datos!$F$2:$F$26103,"STANDBY"),0),"")</f>
        <v/>
      </c>
      <c r="AE14" s="7">
        <f>IFERROR(ROUND(AVERAGEIFS(Datos!$G$2:$G$26103,Datos!$E$2:$E$26103,$A14,Datos!$B$2:$B$26103,22,Datos!$C$2:$C$26103,"&gt;=30",Datos!$F$2:$F$26103,"STANDBY"),0),"")</f>
        <v/>
      </c>
      <c r="AF14" s="7">
        <f>IFERROR(ROUND(AVERAGEIFS(Datos!$G$2:$G$26103,Datos!$E$2:$E$26103,$A14,Datos!$B$2:$B$26103,23,Datos!$C$2:$C$26103,"&lt;30",Datos!$F$2:$F$26103,"STANDBY"),0),"")</f>
        <v/>
      </c>
      <c r="AG14" s="7">
        <f>IFERROR(ROUND(AVERAGEIFS(Datos!$G$2:$G$26103,Datos!$E$2:$E$26103,$A14,Datos!$B$2:$B$26103,23,Datos!$C$2:$C$26103,"&gt;=30",Datos!$F$2:$F$26103,"STANDBY"),0),"")</f>
        <v/>
      </c>
    </row>
    <row r="15">
      <c r="A15" s="6" t="inlineStr">
        <is>
          <t>RC Racer Single Rider</t>
        </is>
      </c>
      <c r="B15" s="7">
        <f>IFERROR(ROUND(AVERAGEIFS(Datos!$G$2:$G$26103,Datos!$E$2:$E$26103,$A15,Datos!$B$2:$B$26103,8,Datos!$C$2:$C$26103,"&lt;30",Datos!$F$2:$F$26103,"STANDBY"),0),"")</f>
        <v/>
      </c>
      <c r="C15" s="7">
        <f>IFERROR(ROUND(AVERAGEIFS(Datos!$G$2:$G$26103,Datos!$E$2:$E$26103,$A15,Datos!$B$2:$B$26103,8,Datos!$C$2:$C$26103,"&gt;=30",Datos!$F$2:$F$26103,"STANDBY"),0),"")</f>
        <v/>
      </c>
      <c r="D15" s="7">
        <f>IFERROR(ROUND(AVERAGEIFS(Datos!$G$2:$G$26103,Datos!$E$2:$E$26103,$A15,Datos!$B$2:$B$26103,9,Datos!$C$2:$C$26103,"&lt;30",Datos!$F$2:$F$26103,"STANDBY"),0),"")</f>
        <v/>
      </c>
      <c r="E15" s="7">
        <f>IFERROR(ROUND(AVERAGEIFS(Datos!$G$2:$G$26103,Datos!$E$2:$E$26103,$A15,Datos!$B$2:$B$26103,9,Datos!$C$2:$C$26103,"&gt;=30",Datos!$F$2:$F$26103,"STANDBY"),0),"")</f>
        <v/>
      </c>
      <c r="F15" s="7">
        <f>IFERROR(ROUND(AVERAGEIFS(Datos!$G$2:$G$26103,Datos!$E$2:$E$26103,$A15,Datos!$B$2:$B$26103,10,Datos!$C$2:$C$26103,"&lt;30",Datos!$F$2:$F$26103,"STANDBY"),0),"")</f>
        <v/>
      </c>
      <c r="G15" s="7">
        <f>IFERROR(ROUND(AVERAGEIFS(Datos!$G$2:$G$26103,Datos!$E$2:$E$26103,$A15,Datos!$B$2:$B$26103,10,Datos!$C$2:$C$26103,"&gt;=30",Datos!$F$2:$F$26103,"STANDBY"),0),"")</f>
        <v/>
      </c>
      <c r="H15" s="7">
        <f>IFERROR(ROUND(AVERAGEIFS(Datos!$G$2:$G$26103,Datos!$E$2:$E$26103,$A15,Datos!$B$2:$B$26103,11,Datos!$C$2:$C$26103,"&lt;30",Datos!$F$2:$F$26103,"STANDBY"),0),"")</f>
        <v/>
      </c>
      <c r="I15" s="7">
        <f>IFERROR(ROUND(AVERAGEIFS(Datos!$G$2:$G$26103,Datos!$E$2:$E$26103,$A15,Datos!$B$2:$B$26103,11,Datos!$C$2:$C$26103,"&gt;=30",Datos!$F$2:$F$26103,"STANDBY"),0),"")</f>
        <v/>
      </c>
      <c r="J15" s="7">
        <f>IFERROR(ROUND(AVERAGEIFS(Datos!$G$2:$G$26103,Datos!$E$2:$E$26103,$A15,Datos!$B$2:$B$26103,12,Datos!$C$2:$C$26103,"&lt;30",Datos!$F$2:$F$26103,"STANDBY"),0),"")</f>
        <v/>
      </c>
      <c r="K15" s="7">
        <f>IFERROR(ROUND(AVERAGEIFS(Datos!$G$2:$G$26103,Datos!$E$2:$E$26103,$A15,Datos!$B$2:$B$26103,12,Datos!$C$2:$C$26103,"&gt;=30",Datos!$F$2:$F$26103,"STANDBY"),0),"")</f>
        <v/>
      </c>
      <c r="L15" s="7">
        <f>IFERROR(ROUND(AVERAGEIFS(Datos!$G$2:$G$26103,Datos!$E$2:$E$26103,$A15,Datos!$B$2:$B$26103,13,Datos!$C$2:$C$26103,"&lt;30",Datos!$F$2:$F$26103,"STANDBY"),0),"")</f>
        <v/>
      </c>
      <c r="M15" s="7">
        <f>IFERROR(ROUND(AVERAGEIFS(Datos!$G$2:$G$26103,Datos!$E$2:$E$26103,$A15,Datos!$B$2:$B$26103,13,Datos!$C$2:$C$26103,"&gt;=30",Datos!$F$2:$F$26103,"STANDBY"),0),"")</f>
        <v/>
      </c>
      <c r="N15" s="7">
        <f>IFERROR(ROUND(AVERAGEIFS(Datos!$G$2:$G$26103,Datos!$E$2:$E$26103,$A15,Datos!$B$2:$B$26103,14,Datos!$C$2:$C$26103,"&lt;30",Datos!$F$2:$F$26103,"STANDBY"),0),"")</f>
        <v/>
      </c>
      <c r="O15" s="7">
        <f>IFERROR(ROUND(AVERAGEIFS(Datos!$G$2:$G$26103,Datos!$E$2:$E$26103,$A15,Datos!$B$2:$B$26103,14,Datos!$C$2:$C$26103,"&gt;=30",Datos!$F$2:$F$26103,"STANDBY"),0),"")</f>
        <v/>
      </c>
      <c r="P15" s="7">
        <f>IFERROR(ROUND(AVERAGEIFS(Datos!$G$2:$G$26103,Datos!$E$2:$E$26103,$A15,Datos!$B$2:$B$26103,15,Datos!$C$2:$C$26103,"&lt;30",Datos!$F$2:$F$26103,"STANDBY"),0),"")</f>
        <v/>
      </c>
      <c r="Q15" s="7">
        <f>IFERROR(ROUND(AVERAGEIFS(Datos!$G$2:$G$26103,Datos!$E$2:$E$26103,$A15,Datos!$B$2:$B$26103,15,Datos!$C$2:$C$26103,"&gt;=30",Datos!$F$2:$F$26103,"STANDBY"),0),"")</f>
        <v/>
      </c>
      <c r="R15" s="7">
        <f>IFERROR(ROUND(AVERAGEIFS(Datos!$G$2:$G$26103,Datos!$E$2:$E$26103,$A15,Datos!$B$2:$B$26103,16,Datos!$C$2:$C$26103,"&lt;30",Datos!$F$2:$F$26103,"STANDBY"),0),"")</f>
        <v/>
      </c>
      <c r="S15" s="7">
        <f>IFERROR(ROUND(AVERAGEIFS(Datos!$G$2:$G$26103,Datos!$E$2:$E$26103,$A15,Datos!$B$2:$B$26103,16,Datos!$C$2:$C$26103,"&gt;=30",Datos!$F$2:$F$26103,"STANDBY"),0),"")</f>
        <v/>
      </c>
      <c r="T15" s="7">
        <f>IFERROR(ROUND(AVERAGEIFS(Datos!$G$2:$G$26103,Datos!$E$2:$E$26103,$A15,Datos!$B$2:$B$26103,17,Datos!$C$2:$C$26103,"&lt;30",Datos!$F$2:$F$26103,"STANDBY"),0),"")</f>
        <v/>
      </c>
      <c r="U15" s="7">
        <f>IFERROR(ROUND(AVERAGEIFS(Datos!$G$2:$G$26103,Datos!$E$2:$E$26103,$A15,Datos!$B$2:$B$26103,17,Datos!$C$2:$C$26103,"&gt;=30",Datos!$F$2:$F$26103,"STANDBY"),0),"")</f>
        <v/>
      </c>
      <c r="V15" s="7">
        <f>IFERROR(ROUND(AVERAGEIFS(Datos!$G$2:$G$26103,Datos!$E$2:$E$26103,$A15,Datos!$B$2:$B$26103,18,Datos!$C$2:$C$26103,"&lt;30",Datos!$F$2:$F$26103,"STANDBY"),0),"")</f>
        <v/>
      </c>
      <c r="W15" s="7">
        <f>IFERROR(ROUND(AVERAGEIFS(Datos!$G$2:$G$26103,Datos!$E$2:$E$26103,$A15,Datos!$B$2:$B$26103,18,Datos!$C$2:$C$26103,"&gt;=30",Datos!$F$2:$F$26103,"STANDBY"),0),"")</f>
        <v/>
      </c>
      <c r="X15" s="7">
        <f>IFERROR(ROUND(AVERAGEIFS(Datos!$G$2:$G$26103,Datos!$E$2:$E$26103,$A15,Datos!$B$2:$B$26103,19,Datos!$C$2:$C$26103,"&lt;30",Datos!$F$2:$F$26103,"STANDBY"),0),"")</f>
        <v/>
      </c>
      <c r="Y15" s="7">
        <f>IFERROR(ROUND(AVERAGEIFS(Datos!$G$2:$G$26103,Datos!$E$2:$E$26103,$A15,Datos!$B$2:$B$26103,19,Datos!$C$2:$C$26103,"&gt;=30",Datos!$F$2:$F$26103,"STANDBY"),0),"")</f>
        <v/>
      </c>
      <c r="Z15" s="7">
        <f>IFERROR(ROUND(AVERAGEIFS(Datos!$G$2:$G$26103,Datos!$E$2:$E$26103,$A15,Datos!$B$2:$B$26103,20,Datos!$C$2:$C$26103,"&lt;30",Datos!$F$2:$F$26103,"STANDBY"),0),"")</f>
        <v/>
      </c>
      <c r="AA15" s="7">
        <f>IFERROR(ROUND(AVERAGEIFS(Datos!$G$2:$G$26103,Datos!$E$2:$E$26103,$A15,Datos!$B$2:$B$26103,20,Datos!$C$2:$C$26103,"&gt;=30",Datos!$F$2:$F$26103,"STANDBY"),0),"")</f>
        <v/>
      </c>
      <c r="AB15" s="7">
        <f>IFERROR(ROUND(AVERAGEIFS(Datos!$G$2:$G$26103,Datos!$E$2:$E$26103,$A15,Datos!$B$2:$B$26103,21,Datos!$C$2:$C$26103,"&lt;30",Datos!$F$2:$F$26103,"STANDBY"),0),"")</f>
        <v/>
      </c>
      <c r="AC15" s="7">
        <f>IFERROR(ROUND(AVERAGEIFS(Datos!$G$2:$G$26103,Datos!$E$2:$E$26103,$A15,Datos!$B$2:$B$26103,21,Datos!$C$2:$C$26103,"&gt;=30",Datos!$F$2:$F$26103,"STANDBY"),0),"")</f>
        <v/>
      </c>
      <c r="AD15" s="7">
        <f>IFERROR(ROUND(AVERAGEIFS(Datos!$G$2:$G$26103,Datos!$E$2:$E$26103,$A15,Datos!$B$2:$B$26103,22,Datos!$C$2:$C$26103,"&lt;30",Datos!$F$2:$F$26103,"STANDBY"),0),"")</f>
        <v/>
      </c>
      <c r="AE15" s="7">
        <f>IFERROR(ROUND(AVERAGEIFS(Datos!$G$2:$G$26103,Datos!$E$2:$E$26103,$A15,Datos!$B$2:$B$26103,22,Datos!$C$2:$C$26103,"&gt;=30",Datos!$F$2:$F$26103,"STANDBY"),0),"")</f>
        <v/>
      </c>
      <c r="AF15" s="7">
        <f>IFERROR(ROUND(AVERAGEIFS(Datos!$G$2:$G$26103,Datos!$E$2:$E$26103,$A15,Datos!$B$2:$B$26103,23,Datos!$C$2:$C$26103,"&lt;30",Datos!$F$2:$F$26103,"STANDBY"),0),"")</f>
        <v/>
      </c>
      <c r="AG15" s="7">
        <f>IFERROR(ROUND(AVERAGEIFS(Datos!$G$2:$G$26103,Datos!$E$2:$E$26103,$A15,Datos!$B$2:$B$26103,23,Datos!$C$2:$C$26103,"&gt;=30",Datos!$F$2:$F$26103,"STANDBY"),0),"")</f>
        <v/>
      </c>
    </row>
    <row r="16">
      <c r="A16" s="6" t="inlineStr">
        <is>
          <t>Raiponce Tangled Spin</t>
        </is>
      </c>
      <c r="B16" s="7">
        <f>IFERROR(ROUND(AVERAGEIFS(Datos!$G$2:$G$26103,Datos!$E$2:$E$26103,$A16,Datos!$B$2:$B$26103,8,Datos!$C$2:$C$26103,"&lt;30",Datos!$F$2:$F$26103,"STANDBY"),0),"")</f>
        <v/>
      </c>
      <c r="C16" s="7">
        <f>IFERROR(ROUND(AVERAGEIFS(Datos!$G$2:$G$26103,Datos!$E$2:$E$26103,$A16,Datos!$B$2:$B$26103,8,Datos!$C$2:$C$26103,"&gt;=30",Datos!$F$2:$F$26103,"STANDBY"),0),"")</f>
        <v/>
      </c>
      <c r="D16" s="7">
        <f>IFERROR(ROUND(AVERAGEIFS(Datos!$G$2:$G$26103,Datos!$E$2:$E$26103,$A16,Datos!$B$2:$B$26103,9,Datos!$C$2:$C$26103,"&lt;30",Datos!$F$2:$F$26103,"STANDBY"),0),"")</f>
        <v/>
      </c>
      <c r="E16" s="7">
        <f>IFERROR(ROUND(AVERAGEIFS(Datos!$G$2:$G$26103,Datos!$E$2:$E$26103,$A16,Datos!$B$2:$B$26103,9,Datos!$C$2:$C$26103,"&gt;=30",Datos!$F$2:$F$26103,"STANDBY"),0),"")</f>
        <v/>
      </c>
      <c r="F16" s="7">
        <f>IFERROR(ROUND(AVERAGEIFS(Datos!$G$2:$G$26103,Datos!$E$2:$E$26103,$A16,Datos!$B$2:$B$26103,10,Datos!$C$2:$C$26103,"&lt;30",Datos!$F$2:$F$26103,"STANDBY"),0),"")</f>
        <v/>
      </c>
      <c r="G16" s="7">
        <f>IFERROR(ROUND(AVERAGEIFS(Datos!$G$2:$G$26103,Datos!$E$2:$E$26103,$A16,Datos!$B$2:$B$26103,10,Datos!$C$2:$C$26103,"&gt;=30",Datos!$F$2:$F$26103,"STANDBY"),0),"")</f>
        <v/>
      </c>
      <c r="H16" s="7">
        <f>IFERROR(ROUND(AVERAGEIFS(Datos!$G$2:$G$26103,Datos!$E$2:$E$26103,$A16,Datos!$B$2:$B$26103,11,Datos!$C$2:$C$26103,"&lt;30",Datos!$F$2:$F$26103,"STANDBY"),0),"")</f>
        <v/>
      </c>
      <c r="I16" s="7">
        <f>IFERROR(ROUND(AVERAGEIFS(Datos!$G$2:$G$26103,Datos!$E$2:$E$26103,$A16,Datos!$B$2:$B$26103,11,Datos!$C$2:$C$26103,"&gt;=30",Datos!$F$2:$F$26103,"STANDBY"),0),"")</f>
        <v/>
      </c>
      <c r="J16" s="7">
        <f>IFERROR(ROUND(AVERAGEIFS(Datos!$G$2:$G$26103,Datos!$E$2:$E$26103,$A16,Datos!$B$2:$B$26103,12,Datos!$C$2:$C$26103,"&lt;30",Datos!$F$2:$F$26103,"STANDBY"),0),"")</f>
        <v/>
      </c>
      <c r="K16" s="7">
        <f>IFERROR(ROUND(AVERAGEIFS(Datos!$G$2:$G$26103,Datos!$E$2:$E$26103,$A16,Datos!$B$2:$B$26103,12,Datos!$C$2:$C$26103,"&gt;=30",Datos!$F$2:$F$26103,"STANDBY"),0),"")</f>
        <v/>
      </c>
      <c r="L16" s="7">
        <f>IFERROR(ROUND(AVERAGEIFS(Datos!$G$2:$G$26103,Datos!$E$2:$E$26103,$A16,Datos!$B$2:$B$26103,13,Datos!$C$2:$C$26103,"&lt;30",Datos!$F$2:$F$26103,"STANDBY"),0),"")</f>
        <v/>
      </c>
      <c r="M16" s="7">
        <f>IFERROR(ROUND(AVERAGEIFS(Datos!$G$2:$G$26103,Datos!$E$2:$E$26103,$A16,Datos!$B$2:$B$26103,13,Datos!$C$2:$C$26103,"&gt;=30",Datos!$F$2:$F$26103,"STANDBY"),0),"")</f>
        <v/>
      </c>
      <c r="N16" s="7">
        <f>IFERROR(ROUND(AVERAGEIFS(Datos!$G$2:$G$26103,Datos!$E$2:$E$26103,$A16,Datos!$B$2:$B$26103,14,Datos!$C$2:$C$26103,"&lt;30",Datos!$F$2:$F$26103,"STANDBY"),0),"")</f>
        <v/>
      </c>
      <c r="O16" s="7">
        <f>IFERROR(ROUND(AVERAGEIFS(Datos!$G$2:$G$26103,Datos!$E$2:$E$26103,$A16,Datos!$B$2:$B$26103,14,Datos!$C$2:$C$26103,"&gt;=30",Datos!$F$2:$F$26103,"STANDBY"),0),"")</f>
        <v/>
      </c>
      <c r="P16" s="7">
        <f>IFERROR(ROUND(AVERAGEIFS(Datos!$G$2:$G$26103,Datos!$E$2:$E$26103,$A16,Datos!$B$2:$B$26103,15,Datos!$C$2:$C$26103,"&lt;30",Datos!$F$2:$F$26103,"STANDBY"),0),"")</f>
        <v/>
      </c>
      <c r="Q16" s="7">
        <f>IFERROR(ROUND(AVERAGEIFS(Datos!$G$2:$G$26103,Datos!$E$2:$E$26103,$A16,Datos!$B$2:$B$26103,15,Datos!$C$2:$C$26103,"&gt;=30",Datos!$F$2:$F$26103,"STANDBY"),0),"")</f>
        <v/>
      </c>
      <c r="R16" s="7">
        <f>IFERROR(ROUND(AVERAGEIFS(Datos!$G$2:$G$26103,Datos!$E$2:$E$26103,$A16,Datos!$B$2:$B$26103,16,Datos!$C$2:$C$26103,"&lt;30",Datos!$F$2:$F$26103,"STANDBY"),0),"")</f>
        <v/>
      </c>
      <c r="S16" s="7">
        <f>IFERROR(ROUND(AVERAGEIFS(Datos!$G$2:$G$26103,Datos!$E$2:$E$26103,$A16,Datos!$B$2:$B$26103,16,Datos!$C$2:$C$26103,"&gt;=30",Datos!$F$2:$F$26103,"STANDBY"),0),"")</f>
        <v/>
      </c>
      <c r="T16" s="7">
        <f>IFERROR(ROUND(AVERAGEIFS(Datos!$G$2:$G$26103,Datos!$E$2:$E$26103,$A16,Datos!$B$2:$B$26103,17,Datos!$C$2:$C$26103,"&lt;30",Datos!$F$2:$F$26103,"STANDBY"),0),"")</f>
        <v/>
      </c>
      <c r="U16" s="7">
        <f>IFERROR(ROUND(AVERAGEIFS(Datos!$G$2:$G$26103,Datos!$E$2:$E$26103,$A16,Datos!$B$2:$B$26103,17,Datos!$C$2:$C$26103,"&gt;=30",Datos!$F$2:$F$26103,"STANDBY"),0),"")</f>
        <v/>
      </c>
      <c r="V16" s="7">
        <f>IFERROR(ROUND(AVERAGEIFS(Datos!$G$2:$G$26103,Datos!$E$2:$E$26103,$A16,Datos!$B$2:$B$26103,18,Datos!$C$2:$C$26103,"&lt;30",Datos!$F$2:$F$26103,"STANDBY"),0),"")</f>
        <v/>
      </c>
      <c r="W16" s="7">
        <f>IFERROR(ROUND(AVERAGEIFS(Datos!$G$2:$G$26103,Datos!$E$2:$E$26103,$A16,Datos!$B$2:$B$26103,18,Datos!$C$2:$C$26103,"&gt;=30",Datos!$F$2:$F$26103,"STANDBY"),0),"")</f>
        <v/>
      </c>
      <c r="X16" s="7">
        <f>IFERROR(ROUND(AVERAGEIFS(Datos!$G$2:$G$26103,Datos!$E$2:$E$26103,$A16,Datos!$B$2:$B$26103,19,Datos!$C$2:$C$26103,"&lt;30",Datos!$F$2:$F$26103,"STANDBY"),0),"")</f>
        <v/>
      </c>
      <c r="Y16" s="7">
        <f>IFERROR(ROUND(AVERAGEIFS(Datos!$G$2:$G$26103,Datos!$E$2:$E$26103,$A16,Datos!$B$2:$B$26103,19,Datos!$C$2:$C$26103,"&gt;=30",Datos!$F$2:$F$26103,"STANDBY"),0),"")</f>
        <v/>
      </c>
      <c r="Z16" s="7">
        <f>IFERROR(ROUND(AVERAGEIFS(Datos!$G$2:$G$26103,Datos!$E$2:$E$26103,$A16,Datos!$B$2:$B$26103,20,Datos!$C$2:$C$26103,"&lt;30",Datos!$F$2:$F$26103,"STANDBY"),0),"")</f>
        <v/>
      </c>
      <c r="AA16" s="7">
        <f>IFERROR(ROUND(AVERAGEIFS(Datos!$G$2:$G$26103,Datos!$E$2:$E$26103,$A16,Datos!$B$2:$B$26103,20,Datos!$C$2:$C$26103,"&gt;=30",Datos!$F$2:$F$26103,"STANDBY"),0),"")</f>
        <v/>
      </c>
      <c r="AB16" s="7">
        <f>IFERROR(ROUND(AVERAGEIFS(Datos!$G$2:$G$26103,Datos!$E$2:$E$26103,$A16,Datos!$B$2:$B$26103,21,Datos!$C$2:$C$26103,"&lt;30",Datos!$F$2:$F$26103,"STANDBY"),0),"")</f>
        <v/>
      </c>
      <c r="AC16" s="7">
        <f>IFERROR(ROUND(AVERAGEIFS(Datos!$G$2:$G$26103,Datos!$E$2:$E$26103,$A16,Datos!$B$2:$B$26103,21,Datos!$C$2:$C$26103,"&gt;=30",Datos!$F$2:$F$26103,"STANDBY"),0),"")</f>
        <v/>
      </c>
      <c r="AD16" s="7">
        <f>IFERROR(ROUND(AVERAGEIFS(Datos!$G$2:$G$26103,Datos!$E$2:$E$26103,$A16,Datos!$B$2:$B$26103,22,Datos!$C$2:$C$26103,"&lt;30",Datos!$F$2:$F$26103,"STANDBY"),0),"")</f>
        <v/>
      </c>
      <c r="AE16" s="7">
        <f>IFERROR(ROUND(AVERAGEIFS(Datos!$G$2:$G$26103,Datos!$E$2:$E$26103,$A16,Datos!$B$2:$B$26103,22,Datos!$C$2:$C$26103,"&gt;=30",Datos!$F$2:$F$26103,"STANDBY"),0),"")</f>
        <v/>
      </c>
      <c r="AF16" s="7">
        <f>IFERROR(ROUND(AVERAGEIFS(Datos!$G$2:$G$26103,Datos!$E$2:$E$26103,$A16,Datos!$B$2:$B$26103,23,Datos!$C$2:$C$26103,"&lt;30",Datos!$F$2:$F$26103,"STANDBY"),0),"")</f>
        <v/>
      </c>
      <c r="AG16" s="7">
        <f>IFERROR(ROUND(AVERAGEIFS(Datos!$G$2:$G$26103,Datos!$E$2:$E$26103,$A16,Datos!$B$2:$B$26103,23,Datos!$C$2:$C$26103,"&gt;=30",Datos!$F$2:$F$26103,"STANDBY"),0),"")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IFERROR(ROUND(AVERAGEIFS(Datos!$G$2:$G$26103,Datos!$E$2:$E$26103,$A17,Datos!$B$2:$B$26103,8,Datos!$C$2:$C$26103,"&lt;30",Datos!$F$2:$F$26103,"STANDBY"),0),"")</f>
        <v/>
      </c>
      <c r="C17" s="7">
        <f>IFERROR(ROUND(AVERAGEIFS(Datos!$G$2:$G$26103,Datos!$E$2:$E$26103,$A17,Datos!$B$2:$B$26103,8,Datos!$C$2:$C$26103,"&gt;=30",Datos!$F$2:$F$26103,"STANDBY"),0),"")</f>
        <v/>
      </c>
      <c r="D17" s="7">
        <f>IFERROR(ROUND(AVERAGEIFS(Datos!$G$2:$G$26103,Datos!$E$2:$E$26103,$A17,Datos!$B$2:$B$26103,9,Datos!$C$2:$C$26103,"&lt;30",Datos!$F$2:$F$26103,"STANDBY"),0),"")</f>
        <v/>
      </c>
      <c r="E17" s="7">
        <f>IFERROR(ROUND(AVERAGEIFS(Datos!$G$2:$G$26103,Datos!$E$2:$E$26103,$A17,Datos!$B$2:$B$26103,9,Datos!$C$2:$C$26103,"&gt;=30",Datos!$F$2:$F$26103,"STANDBY"),0),"")</f>
        <v/>
      </c>
      <c r="F17" s="7">
        <f>IFERROR(ROUND(AVERAGEIFS(Datos!$G$2:$G$26103,Datos!$E$2:$E$26103,$A17,Datos!$B$2:$B$26103,10,Datos!$C$2:$C$26103,"&lt;30",Datos!$F$2:$F$26103,"STANDBY"),0),"")</f>
        <v/>
      </c>
      <c r="G17" s="7">
        <f>IFERROR(ROUND(AVERAGEIFS(Datos!$G$2:$G$26103,Datos!$E$2:$E$26103,$A17,Datos!$B$2:$B$26103,10,Datos!$C$2:$C$26103,"&gt;=30",Datos!$F$2:$F$26103,"STANDBY"),0),"")</f>
        <v/>
      </c>
      <c r="H17" s="7">
        <f>IFERROR(ROUND(AVERAGEIFS(Datos!$G$2:$G$26103,Datos!$E$2:$E$26103,$A17,Datos!$B$2:$B$26103,11,Datos!$C$2:$C$26103,"&lt;30",Datos!$F$2:$F$26103,"STANDBY"),0),"")</f>
        <v/>
      </c>
      <c r="I17" s="7">
        <f>IFERROR(ROUND(AVERAGEIFS(Datos!$G$2:$G$26103,Datos!$E$2:$E$26103,$A17,Datos!$B$2:$B$26103,11,Datos!$C$2:$C$26103,"&gt;=30",Datos!$F$2:$F$26103,"STANDBY"),0),"")</f>
        <v/>
      </c>
      <c r="J17" s="7">
        <f>IFERROR(ROUND(AVERAGEIFS(Datos!$G$2:$G$26103,Datos!$E$2:$E$26103,$A17,Datos!$B$2:$B$26103,12,Datos!$C$2:$C$26103,"&lt;30",Datos!$F$2:$F$26103,"STANDBY"),0),"")</f>
        <v/>
      </c>
      <c r="K17" s="7">
        <f>IFERROR(ROUND(AVERAGEIFS(Datos!$G$2:$G$26103,Datos!$E$2:$E$26103,$A17,Datos!$B$2:$B$26103,12,Datos!$C$2:$C$26103,"&gt;=30",Datos!$F$2:$F$26103,"STANDBY"),0),"")</f>
        <v/>
      </c>
      <c r="L17" s="7">
        <f>IFERROR(ROUND(AVERAGEIFS(Datos!$G$2:$G$26103,Datos!$E$2:$E$26103,$A17,Datos!$B$2:$B$26103,13,Datos!$C$2:$C$26103,"&lt;30",Datos!$F$2:$F$26103,"STANDBY"),0),"")</f>
        <v/>
      </c>
      <c r="M17" s="7">
        <f>IFERROR(ROUND(AVERAGEIFS(Datos!$G$2:$G$26103,Datos!$E$2:$E$26103,$A17,Datos!$B$2:$B$26103,13,Datos!$C$2:$C$26103,"&gt;=30",Datos!$F$2:$F$26103,"STANDBY"),0),"")</f>
        <v/>
      </c>
      <c r="N17" s="7">
        <f>IFERROR(ROUND(AVERAGEIFS(Datos!$G$2:$G$26103,Datos!$E$2:$E$26103,$A17,Datos!$B$2:$B$26103,14,Datos!$C$2:$C$26103,"&lt;30",Datos!$F$2:$F$26103,"STANDBY"),0),"")</f>
        <v/>
      </c>
      <c r="O17" s="7">
        <f>IFERROR(ROUND(AVERAGEIFS(Datos!$G$2:$G$26103,Datos!$E$2:$E$26103,$A17,Datos!$B$2:$B$26103,14,Datos!$C$2:$C$26103,"&gt;=30",Datos!$F$2:$F$26103,"STANDBY"),0),"")</f>
        <v/>
      </c>
      <c r="P17" s="7">
        <f>IFERROR(ROUND(AVERAGEIFS(Datos!$G$2:$G$26103,Datos!$E$2:$E$26103,$A17,Datos!$B$2:$B$26103,15,Datos!$C$2:$C$26103,"&lt;30",Datos!$F$2:$F$26103,"STANDBY"),0),"")</f>
        <v/>
      </c>
      <c r="Q17" s="7">
        <f>IFERROR(ROUND(AVERAGEIFS(Datos!$G$2:$G$26103,Datos!$E$2:$E$26103,$A17,Datos!$B$2:$B$26103,15,Datos!$C$2:$C$26103,"&gt;=30",Datos!$F$2:$F$26103,"STANDBY"),0),"")</f>
        <v/>
      </c>
      <c r="R17" s="7">
        <f>IFERROR(ROUND(AVERAGEIFS(Datos!$G$2:$G$26103,Datos!$E$2:$E$26103,$A17,Datos!$B$2:$B$26103,16,Datos!$C$2:$C$26103,"&lt;30",Datos!$F$2:$F$26103,"STANDBY"),0),"")</f>
        <v/>
      </c>
      <c r="S17" s="7">
        <f>IFERROR(ROUND(AVERAGEIFS(Datos!$G$2:$G$26103,Datos!$E$2:$E$26103,$A17,Datos!$B$2:$B$26103,16,Datos!$C$2:$C$26103,"&gt;=30",Datos!$F$2:$F$26103,"STANDBY"),0),"")</f>
        <v/>
      </c>
      <c r="T17" s="7">
        <f>IFERROR(ROUND(AVERAGEIFS(Datos!$G$2:$G$26103,Datos!$E$2:$E$26103,$A17,Datos!$B$2:$B$26103,17,Datos!$C$2:$C$26103,"&lt;30",Datos!$F$2:$F$26103,"STANDBY"),0),"")</f>
        <v/>
      </c>
      <c r="U17" s="7">
        <f>IFERROR(ROUND(AVERAGEIFS(Datos!$G$2:$G$26103,Datos!$E$2:$E$26103,$A17,Datos!$B$2:$B$26103,17,Datos!$C$2:$C$26103,"&gt;=30",Datos!$F$2:$F$26103,"STANDBY"),0),"")</f>
        <v/>
      </c>
      <c r="V17" s="7">
        <f>IFERROR(ROUND(AVERAGEIFS(Datos!$G$2:$G$26103,Datos!$E$2:$E$26103,$A17,Datos!$B$2:$B$26103,18,Datos!$C$2:$C$26103,"&lt;30",Datos!$F$2:$F$26103,"STANDBY"),0),"")</f>
        <v/>
      </c>
      <c r="W17" s="7">
        <f>IFERROR(ROUND(AVERAGEIFS(Datos!$G$2:$G$26103,Datos!$E$2:$E$26103,$A17,Datos!$B$2:$B$26103,18,Datos!$C$2:$C$26103,"&gt;=30",Datos!$F$2:$F$26103,"STANDBY"),0),"")</f>
        <v/>
      </c>
      <c r="X17" s="7">
        <f>IFERROR(ROUND(AVERAGEIFS(Datos!$G$2:$G$26103,Datos!$E$2:$E$26103,$A17,Datos!$B$2:$B$26103,19,Datos!$C$2:$C$26103,"&lt;30",Datos!$F$2:$F$26103,"STANDBY"),0),"")</f>
        <v/>
      </c>
      <c r="Y17" s="7">
        <f>IFERROR(ROUND(AVERAGEIFS(Datos!$G$2:$G$26103,Datos!$E$2:$E$26103,$A17,Datos!$B$2:$B$26103,19,Datos!$C$2:$C$26103,"&gt;=30",Datos!$F$2:$F$26103,"STANDBY"),0),"")</f>
        <v/>
      </c>
      <c r="Z17" s="7">
        <f>IFERROR(ROUND(AVERAGEIFS(Datos!$G$2:$G$26103,Datos!$E$2:$E$26103,$A17,Datos!$B$2:$B$26103,20,Datos!$C$2:$C$26103,"&lt;30",Datos!$F$2:$F$26103,"STANDBY"),0),"")</f>
        <v/>
      </c>
      <c r="AA17" s="7">
        <f>IFERROR(ROUND(AVERAGEIFS(Datos!$G$2:$G$26103,Datos!$E$2:$E$26103,$A17,Datos!$B$2:$B$26103,20,Datos!$C$2:$C$26103,"&gt;=30",Datos!$F$2:$F$26103,"STANDBY"),0),"")</f>
        <v/>
      </c>
      <c r="AB17" s="7">
        <f>IFERROR(ROUND(AVERAGEIFS(Datos!$G$2:$G$26103,Datos!$E$2:$E$26103,$A17,Datos!$B$2:$B$26103,21,Datos!$C$2:$C$26103,"&lt;30",Datos!$F$2:$F$26103,"STANDBY"),0),"")</f>
        <v/>
      </c>
      <c r="AC17" s="7">
        <f>IFERROR(ROUND(AVERAGEIFS(Datos!$G$2:$G$26103,Datos!$E$2:$E$26103,$A17,Datos!$B$2:$B$26103,21,Datos!$C$2:$C$26103,"&gt;=30",Datos!$F$2:$F$26103,"STANDBY"),0),"")</f>
        <v/>
      </c>
      <c r="AD17" s="7">
        <f>IFERROR(ROUND(AVERAGEIFS(Datos!$G$2:$G$26103,Datos!$E$2:$E$26103,$A17,Datos!$B$2:$B$26103,22,Datos!$C$2:$C$26103,"&lt;30",Datos!$F$2:$F$26103,"STANDBY"),0),"")</f>
        <v/>
      </c>
      <c r="AE17" s="7">
        <f>IFERROR(ROUND(AVERAGEIFS(Datos!$G$2:$G$26103,Datos!$E$2:$E$26103,$A17,Datos!$B$2:$B$26103,22,Datos!$C$2:$C$26103,"&gt;=30",Datos!$F$2:$F$26103,"STANDBY"),0),"")</f>
        <v/>
      </c>
      <c r="AF17" s="7">
        <f>IFERROR(ROUND(AVERAGEIFS(Datos!$G$2:$G$26103,Datos!$E$2:$E$26103,$A17,Datos!$B$2:$B$26103,23,Datos!$C$2:$C$26103,"&lt;30",Datos!$F$2:$F$26103,"STANDBY"),0),"")</f>
        <v/>
      </c>
      <c r="AG17" s="7">
        <f>IFERROR(ROUND(AVERAGEIFS(Datos!$G$2:$G$26103,Datos!$E$2:$E$26103,$A17,Datos!$B$2:$B$26103,23,Datos!$C$2:$C$26103,"&gt;=30",Datos!$F$2:$F$26103,"STANDBY"),0),"")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IFERROR(ROUND(AVERAGEIFS(Datos!$G$2:$G$26103,Datos!$E$2:$E$26103,$A18,Datos!$B$2:$B$26103,8,Datos!$C$2:$C$26103,"&lt;30",Datos!$F$2:$F$26103,"STANDBY"),0),"")</f>
        <v/>
      </c>
      <c r="C18" s="7">
        <f>IFERROR(ROUND(AVERAGEIFS(Datos!$G$2:$G$26103,Datos!$E$2:$E$26103,$A18,Datos!$B$2:$B$26103,8,Datos!$C$2:$C$26103,"&gt;=30",Datos!$F$2:$F$26103,"STANDBY"),0),"")</f>
        <v/>
      </c>
      <c r="D18" s="7">
        <f>IFERROR(ROUND(AVERAGEIFS(Datos!$G$2:$G$26103,Datos!$E$2:$E$26103,$A18,Datos!$B$2:$B$26103,9,Datos!$C$2:$C$26103,"&lt;30",Datos!$F$2:$F$26103,"STANDBY"),0),"")</f>
        <v/>
      </c>
      <c r="E18" s="7">
        <f>IFERROR(ROUND(AVERAGEIFS(Datos!$G$2:$G$26103,Datos!$E$2:$E$26103,$A18,Datos!$B$2:$B$26103,9,Datos!$C$2:$C$26103,"&gt;=30",Datos!$F$2:$F$26103,"STANDBY"),0),"")</f>
        <v/>
      </c>
      <c r="F18" s="7">
        <f>IFERROR(ROUND(AVERAGEIFS(Datos!$G$2:$G$26103,Datos!$E$2:$E$26103,$A18,Datos!$B$2:$B$26103,10,Datos!$C$2:$C$26103,"&lt;30",Datos!$F$2:$F$26103,"STANDBY"),0),"")</f>
        <v/>
      </c>
      <c r="G18" s="7">
        <f>IFERROR(ROUND(AVERAGEIFS(Datos!$G$2:$G$26103,Datos!$E$2:$E$26103,$A18,Datos!$B$2:$B$26103,10,Datos!$C$2:$C$26103,"&gt;=30",Datos!$F$2:$F$26103,"STANDBY"),0),"")</f>
        <v/>
      </c>
      <c r="H18" s="7">
        <f>IFERROR(ROUND(AVERAGEIFS(Datos!$G$2:$G$26103,Datos!$E$2:$E$26103,$A18,Datos!$B$2:$B$26103,11,Datos!$C$2:$C$26103,"&lt;30",Datos!$F$2:$F$26103,"STANDBY"),0),"")</f>
        <v/>
      </c>
      <c r="I18" s="7">
        <f>IFERROR(ROUND(AVERAGEIFS(Datos!$G$2:$G$26103,Datos!$E$2:$E$26103,$A18,Datos!$B$2:$B$26103,11,Datos!$C$2:$C$26103,"&gt;=30",Datos!$F$2:$F$26103,"STANDBY"),0),"")</f>
        <v/>
      </c>
      <c r="J18" s="7">
        <f>IFERROR(ROUND(AVERAGEIFS(Datos!$G$2:$G$26103,Datos!$E$2:$E$26103,$A18,Datos!$B$2:$B$26103,12,Datos!$C$2:$C$26103,"&lt;30",Datos!$F$2:$F$26103,"STANDBY"),0),"")</f>
        <v/>
      </c>
      <c r="K18" s="7">
        <f>IFERROR(ROUND(AVERAGEIFS(Datos!$G$2:$G$26103,Datos!$E$2:$E$26103,$A18,Datos!$B$2:$B$26103,12,Datos!$C$2:$C$26103,"&gt;=30",Datos!$F$2:$F$26103,"STANDBY"),0),"")</f>
        <v/>
      </c>
      <c r="L18" s="7">
        <f>IFERROR(ROUND(AVERAGEIFS(Datos!$G$2:$G$26103,Datos!$E$2:$E$26103,$A18,Datos!$B$2:$B$26103,13,Datos!$C$2:$C$26103,"&lt;30",Datos!$F$2:$F$26103,"STANDBY"),0),"")</f>
        <v/>
      </c>
      <c r="M18" s="7">
        <f>IFERROR(ROUND(AVERAGEIFS(Datos!$G$2:$G$26103,Datos!$E$2:$E$26103,$A18,Datos!$B$2:$B$26103,13,Datos!$C$2:$C$26103,"&gt;=30",Datos!$F$2:$F$26103,"STANDBY"),0),"")</f>
        <v/>
      </c>
      <c r="N18" s="7">
        <f>IFERROR(ROUND(AVERAGEIFS(Datos!$G$2:$G$26103,Datos!$E$2:$E$26103,$A18,Datos!$B$2:$B$26103,14,Datos!$C$2:$C$26103,"&lt;30",Datos!$F$2:$F$26103,"STANDBY"),0),"")</f>
        <v/>
      </c>
      <c r="O18" s="7">
        <f>IFERROR(ROUND(AVERAGEIFS(Datos!$G$2:$G$26103,Datos!$E$2:$E$26103,$A18,Datos!$B$2:$B$26103,14,Datos!$C$2:$C$26103,"&gt;=30",Datos!$F$2:$F$26103,"STANDBY"),0),"")</f>
        <v/>
      </c>
      <c r="P18" s="7">
        <f>IFERROR(ROUND(AVERAGEIFS(Datos!$G$2:$G$26103,Datos!$E$2:$E$26103,$A18,Datos!$B$2:$B$26103,15,Datos!$C$2:$C$26103,"&lt;30",Datos!$F$2:$F$26103,"STANDBY"),0),"")</f>
        <v/>
      </c>
      <c r="Q18" s="7">
        <f>IFERROR(ROUND(AVERAGEIFS(Datos!$G$2:$G$26103,Datos!$E$2:$E$26103,$A18,Datos!$B$2:$B$26103,15,Datos!$C$2:$C$26103,"&gt;=30",Datos!$F$2:$F$26103,"STANDBY"),0),"")</f>
        <v/>
      </c>
      <c r="R18" s="7">
        <f>IFERROR(ROUND(AVERAGEIFS(Datos!$G$2:$G$26103,Datos!$E$2:$E$26103,$A18,Datos!$B$2:$B$26103,16,Datos!$C$2:$C$26103,"&lt;30",Datos!$F$2:$F$26103,"STANDBY"),0),"")</f>
        <v/>
      </c>
      <c r="S18" s="7">
        <f>IFERROR(ROUND(AVERAGEIFS(Datos!$G$2:$G$26103,Datos!$E$2:$E$26103,$A18,Datos!$B$2:$B$26103,16,Datos!$C$2:$C$26103,"&gt;=30",Datos!$F$2:$F$26103,"STANDBY"),0),"")</f>
        <v/>
      </c>
      <c r="T18" s="7">
        <f>IFERROR(ROUND(AVERAGEIFS(Datos!$G$2:$G$26103,Datos!$E$2:$E$26103,$A18,Datos!$B$2:$B$26103,17,Datos!$C$2:$C$26103,"&lt;30",Datos!$F$2:$F$26103,"STANDBY"),0),"")</f>
        <v/>
      </c>
      <c r="U18" s="7">
        <f>IFERROR(ROUND(AVERAGEIFS(Datos!$G$2:$G$26103,Datos!$E$2:$E$26103,$A18,Datos!$B$2:$B$26103,17,Datos!$C$2:$C$26103,"&gt;=30",Datos!$F$2:$F$26103,"STANDBY"),0),"")</f>
        <v/>
      </c>
      <c r="V18" s="7">
        <f>IFERROR(ROUND(AVERAGEIFS(Datos!$G$2:$G$26103,Datos!$E$2:$E$26103,$A18,Datos!$B$2:$B$26103,18,Datos!$C$2:$C$26103,"&lt;30",Datos!$F$2:$F$26103,"STANDBY"),0),"")</f>
        <v/>
      </c>
      <c r="W18" s="7">
        <f>IFERROR(ROUND(AVERAGEIFS(Datos!$G$2:$G$26103,Datos!$E$2:$E$26103,$A18,Datos!$B$2:$B$26103,18,Datos!$C$2:$C$26103,"&gt;=30",Datos!$F$2:$F$26103,"STANDBY"),0),"")</f>
        <v/>
      </c>
      <c r="X18" s="7">
        <f>IFERROR(ROUND(AVERAGEIFS(Datos!$G$2:$G$26103,Datos!$E$2:$E$26103,$A18,Datos!$B$2:$B$26103,19,Datos!$C$2:$C$26103,"&lt;30",Datos!$F$2:$F$26103,"STANDBY"),0),"")</f>
        <v/>
      </c>
      <c r="Y18" s="7">
        <f>IFERROR(ROUND(AVERAGEIFS(Datos!$G$2:$G$26103,Datos!$E$2:$E$26103,$A18,Datos!$B$2:$B$26103,19,Datos!$C$2:$C$26103,"&gt;=30",Datos!$F$2:$F$26103,"STANDBY"),0),"")</f>
        <v/>
      </c>
      <c r="Z18" s="7">
        <f>IFERROR(ROUND(AVERAGEIFS(Datos!$G$2:$G$26103,Datos!$E$2:$E$26103,$A18,Datos!$B$2:$B$26103,20,Datos!$C$2:$C$26103,"&lt;30",Datos!$F$2:$F$26103,"STANDBY"),0),"")</f>
        <v/>
      </c>
      <c r="AA18" s="7">
        <f>IFERROR(ROUND(AVERAGEIFS(Datos!$G$2:$G$26103,Datos!$E$2:$E$26103,$A18,Datos!$B$2:$B$26103,20,Datos!$C$2:$C$26103,"&gt;=30",Datos!$F$2:$F$26103,"STANDBY"),0),"")</f>
        <v/>
      </c>
      <c r="AB18" s="7">
        <f>IFERROR(ROUND(AVERAGEIFS(Datos!$G$2:$G$26103,Datos!$E$2:$E$26103,$A18,Datos!$B$2:$B$26103,21,Datos!$C$2:$C$26103,"&lt;30",Datos!$F$2:$F$26103,"STANDBY"),0),"")</f>
        <v/>
      </c>
      <c r="AC18" s="7">
        <f>IFERROR(ROUND(AVERAGEIFS(Datos!$G$2:$G$26103,Datos!$E$2:$E$26103,$A18,Datos!$B$2:$B$26103,21,Datos!$C$2:$C$26103,"&gt;=30",Datos!$F$2:$F$26103,"STANDBY"),0),"")</f>
        <v/>
      </c>
      <c r="AD18" s="7">
        <f>IFERROR(ROUND(AVERAGEIFS(Datos!$G$2:$G$26103,Datos!$E$2:$E$26103,$A18,Datos!$B$2:$B$26103,22,Datos!$C$2:$C$26103,"&lt;30",Datos!$F$2:$F$26103,"STANDBY"),0),"")</f>
        <v/>
      </c>
      <c r="AE18" s="7">
        <f>IFERROR(ROUND(AVERAGEIFS(Datos!$G$2:$G$26103,Datos!$E$2:$E$26103,$A18,Datos!$B$2:$B$26103,22,Datos!$C$2:$C$26103,"&gt;=30",Datos!$F$2:$F$26103,"STANDBY"),0),"")</f>
        <v/>
      </c>
      <c r="AF18" s="7">
        <f>IFERROR(ROUND(AVERAGEIFS(Datos!$G$2:$G$26103,Datos!$E$2:$E$26103,$A18,Datos!$B$2:$B$26103,23,Datos!$C$2:$C$26103,"&lt;30",Datos!$F$2:$F$26103,"STANDBY"),0),"")</f>
        <v/>
      </c>
      <c r="AG18" s="7">
        <f>IFERROR(ROUND(AVERAGEIFS(Datos!$G$2:$G$26103,Datos!$E$2:$E$26103,$A18,Datos!$B$2:$B$26103,23,Datos!$C$2:$C$26103,"&gt;=30",Datos!$F$2:$F$26103,"STANDBY"),0),"")</f>
        <v/>
      </c>
    </row>
    <row r="19">
      <c r="A19" s="6" t="inlineStr">
        <is>
          <t>Slinky® Dog Zigzag Spin</t>
        </is>
      </c>
      <c r="B19" s="7">
        <f>IFERROR(ROUND(AVERAGEIFS(Datos!$G$2:$G$26103,Datos!$E$2:$E$26103,$A19,Datos!$B$2:$B$26103,8,Datos!$C$2:$C$26103,"&lt;30",Datos!$F$2:$F$26103,"STANDBY"),0),"")</f>
        <v/>
      </c>
      <c r="C19" s="7">
        <f>IFERROR(ROUND(AVERAGEIFS(Datos!$G$2:$G$26103,Datos!$E$2:$E$26103,$A19,Datos!$B$2:$B$26103,8,Datos!$C$2:$C$26103,"&gt;=30",Datos!$F$2:$F$26103,"STANDBY"),0),"")</f>
        <v/>
      </c>
      <c r="D19" s="7">
        <f>IFERROR(ROUND(AVERAGEIFS(Datos!$G$2:$G$26103,Datos!$E$2:$E$26103,$A19,Datos!$B$2:$B$26103,9,Datos!$C$2:$C$26103,"&lt;30",Datos!$F$2:$F$26103,"STANDBY"),0),"")</f>
        <v/>
      </c>
      <c r="E19" s="7">
        <f>IFERROR(ROUND(AVERAGEIFS(Datos!$G$2:$G$26103,Datos!$E$2:$E$26103,$A19,Datos!$B$2:$B$26103,9,Datos!$C$2:$C$26103,"&gt;=30",Datos!$F$2:$F$26103,"STANDBY"),0),"")</f>
        <v/>
      </c>
      <c r="F19" s="7">
        <f>IFERROR(ROUND(AVERAGEIFS(Datos!$G$2:$G$26103,Datos!$E$2:$E$26103,$A19,Datos!$B$2:$B$26103,10,Datos!$C$2:$C$26103,"&lt;30",Datos!$F$2:$F$26103,"STANDBY"),0),"")</f>
        <v/>
      </c>
      <c r="G19" s="7">
        <f>IFERROR(ROUND(AVERAGEIFS(Datos!$G$2:$G$26103,Datos!$E$2:$E$26103,$A19,Datos!$B$2:$B$26103,10,Datos!$C$2:$C$26103,"&gt;=30",Datos!$F$2:$F$26103,"STANDBY"),0),"")</f>
        <v/>
      </c>
      <c r="H19" s="7">
        <f>IFERROR(ROUND(AVERAGEIFS(Datos!$G$2:$G$26103,Datos!$E$2:$E$26103,$A19,Datos!$B$2:$B$26103,11,Datos!$C$2:$C$26103,"&lt;30",Datos!$F$2:$F$26103,"STANDBY"),0),"")</f>
        <v/>
      </c>
      <c r="I19" s="7">
        <f>IFERROR(ROUND(AVERAGEIFS(Datos!$G$2:$G$26103,Datos!$E$2:$E$26103,$A19,Datos!$B$2:$B$26103,11,Datos!$C$2:$C$26103,"&gt;=30",Datos!$F$2:$F$26103,"STANDBY"),0),"")</f>
        <v/>
      </c>
      <c r="J19" s="7">
        <f>IFERROR(ROUND(AVERAGEIFS(Datos!$G$2:$G$26103,Datos!$E$2:$E$26103,$A19,Datos!$B$2:$B$26103,12,Datos!$C$2:$C$26103,"&lt;30",Datos!$F$2:$F$26103,"STANDBY"),0),"")</f>
        <v/>
      </c>
      <c r="K19" s="7">
        <f>IFERROR(ROUND(AVERAGEIFS(Datos!$G$2:$G$26103,Datos!$E$2:$E$26103,$A19,Datos!$B$2:$B$26103,12,Datos!$C$2:$C$26103,"&gt;=30",Datos!$F$2:$F$26103,"STANDBY"),0),"")</f>
        <v/>
      </c>
      <c r="L19" s="7">
        <f>IFERROR(ROUND(AVERAGEIFS(Datos!$G$2:$G$26103,Datos!$E$2:$E$26103,$A19,Datos!$B$2:$B$26103,13,Datos!$C$2:$C$26103,"&lt;30",Datos!$F$2:$F$26103,"STANDBY"),0),"")</f>
        <v/>
      </c>
      <c r="M19" s="7">
        <f>IFERROR(ROUND(AVERAGEIFS(Datos!$G$2:$G$26103,Datos!$E$2:$E$26103,$A19,Datos!$B$2:$B$26103,13,Datos!$C$2:$C$26103,"&gt;=30",Datos!$F$2:$F$26103,"STANDBY"),0),"")</f>
        <v/>
      </c>
      <c r="N19" s="7">
        <f>IFERROR(ROUND(AVERAGEIFS(Datos!$G$2:$G$26103,Datos!$E$2:$E$26103,$A19,Datos!$B$2:$B$26103,14,Datos!$C$2:$C$26103,"&lt;30",Datos!$F$2:$F$26103,"STANDBY"),0),"")</f>
        <v/>
      </c>
      <c r="O19" s="7">
        <f>IFERROR(ROUND(AVERAGEIFS(Datos!$G$2:$G$26103,Datos!$E$2:$E$26103,$A19,Datos!$B$2:$B$26103,14,Datos!$C$2:$C$26103,"&gt;=30",Datos!$F$2:$F$26103,"STANDBY"),0),"")</f>
        <v/>
      </c>
      <c r="P19" s="7">
        <f>IFERROR(ROUND(AVERAGEIFS(Datos!$G$2:$G$26103,Datos!$E$2:$E$26103,$A19,Datos!$B$2:$B$26103,15,Datos!$C$2:$C$26103,"&lt;30",Datos!$F$2:$F$26103,"STANDBY"),0),"")</f>
        <v/>
      </c>
      <c r="Q19" s="7">
        <f>IFERROR(ROUND(AVERAGEIFS(Datos!$G$2:$G$26103,Datos!$E$2:$E$26103,$A19,Datos!$B$2:$B$26103,15,Datos!$C$2:$C$26103,"&gt;=30",Datos!$F$2:$F$26103,"STANDBY"),0),"")</f>
        <v/>
      </c>
      <c r="R19" s="7">
        <f>IFERROR(ROUND(AVERAGEIFS(Datos!$G$2:$G$26103,Datos!$E$2:$E$26103,$A19,Datos!$B$2:$B$26103,16,Datos!$C$2:$C$26103,"&lt;30",Datos!$F$2:$F$26103,"STANDBY"),0),"")</f>
        <v/>
      </c>
      <c r="S19" s="7">
        <f>IFERROR(ROUND(AVERAGEIFS(Datos!$G$2:$G$26103,Datos!$E$2:$E$26103,$A19,Datos!$B$2:$B$26103,16,Datos!$C$2:$C$26103,"&gt;=30",Datos!$F$2:$F$26103,"STANDBY"),0),"")</f>
        <v/>
      </c>
      <c r="T19" s="7">
        <f>IFERROR(ROUND(AVERAGEIFS(Datos!$G$2:$G$26103,Datos!$E$2:$E$26103,$A19,Datos!$B$2:$B$26103,17,Datos!$C$2:$C$26103,"&lt;30",Datos!$F$2:$F$26103,"STANDBY"),0),"")</f>
        <v/>
      </c>
      <c r="U19" s="7">
        <f>IFERROR(ROUND(AVERAGEIFS(Datos!$G$2:$G$26103,Datos!$E$2:$E$26103,$A19,Datos!$B$2:$B$26103,17,Datos!$C$2:$C$26103,"&gt;=30",Datos!$F$2:$F$26103,"STANDBY"),0),"")</f>
        <v/>
      </c>
      <c r="V19" s="7">
        <f>IFERROR(ROUND(AVERAGEIFS(Datos!$G$2:$G$26103,Datos!$E$2:$E$26103,$A19,Datos!$B$2:$B$26103,18,Datos!$C$2:$C$26103,"&lt;30",Datos!$F$2:$F$26103,"STANDBY"),0),"")</f>
        <v/>
      </c>
      <c r="W19" s="7">
        <f>IFERROR(ROUND(AVERAGEIFS(Datos!$G$2:$G$26103,Datos!$E$2:$E$26103,$A19,Datos!$B$2:$B$26103,18,Datos!$C$2:$C$26103,"&gt;=30",Datos!$F$2:$F$26103,"STANDBY"),0),"")</f>
        <v/>
      </c>
      <c r="X19" s="7">
        <f>IFERROR(ROUND(AVERAGEIFS(Datos!$G$2:$G$26103,Datos!$E$2:$E$26103,$A19,Datos!$B$2:$B$26103,19,Datos!$C$2:$C$26103,"&lt;30",Datos!$F$2:$F$26103,"STANDBY"),0),"")</f>
        <v/>
      </c>
      <c r="Y19" s="7">
        <f>IFERROR(ROUND(AVERAGEIFS(Datos!$G$2:$G$26103,Datos!$E$2:$E$26103,$A19,Datos!$B$2:$B$26103,19,Datos!$C$2:$C$26103,"&gt;=30",Datos!$F$2:$F$26103,"STANDBY"),0),"")</f>
        <v/>
      </c>
      <c r="Z19" s="7">
        <f>IFERROR(ROUND(AVERAGEIFS(Datos!$G$2:$G$26103,Datos!$E$2:$E$26103,$A19,Datos!$B$2:$B$26103,20,Datos!$C$2:$C$26103,"&lt;30",Datos!$F$2:$F$26103,"STANDBY"),0),"")</f>
        <v/>
      </c>
      <c r="AA19" s="7">
        <f>IFERROR(ROUND(AVERAGEIFS(Datos!$G$2:$G$26103,Datos!$E$2:$E$26103,$A19,Datos!$B$2:$B$26103,20,Datos!$C$2:$C$26103,"&gt;=30",Datos!$F$2:$F$26103,"STANDBY"),0),"")</f>
        <v/>
      </c>
      <c r="AB19" s="7">
        <f>IFERROR(ROUND(AVERAGEIFS(Datos!$G$2:$G$26103,Datos!$E$2:$E$26103,$A19,Datos!$B$2:$B$26103,21,Datos!$C$2:$C$26103,"&lt;30",Datos!$F$2:$F$26103,"STANDBY"),0),"")</f>
        <v/>
      </c>
      <c r="AC19" s="7">
        <f>IFERROR(ROUND(AVERAGEIFS(Datos!$G$2:$G$26103,Datos!$E$2:$E$26103,$A19,Datos!$B$2:$B$26103,21,Datos!$C$2:$C$26103,"&gt;=30",Datos!$F$2:$F$26103,"STANDBY"),0),"")</f>
        <v/>
      </c>
      <c r="AD19" s="7">
        <f>IFERROR(ROUND(AVERAGEIFS(Datos!$G$2:$G$26103,Datos!$E$2:$E$26103,$A19,Datos!$B$2:$B$26103,22,Datos!$C$2:$C$26103,"&lt;30",Datos!$F$2:$F$26103,"STANDBY"),0),"")</f>
        <v/>
      </c>
      <c r="AE19" s="7">
        <f>IFERROR(ROUND(AVERAGEIFS(Datos!$G$2:$G$26103,Datos!$E$2:$E$26103,$A19,Datos!$B$2:$B$26103,22,Datos!$C$2:$C$26103,"&gt;=30",Datos!$F$2:$F$26103,"STANDBY"),0),"")</f>
        <v/>
      </c>
      <c r="AF19" s="7">
        <f>IFERROR(ROUND(AVERAGEIFS(Datos!$G$2:$G$26103,Datos!$E$2:$E$26103,$A19,Datos!$B$2:$B$26103,23,Datos!$C$2:$C$26103,"&lt;30",Datos!$F$2:$F$26103,"STANDBY"),0),"")</f>
        <v/>
      </c>
      <c r="AG19" s="7">
        <f>IFERROR(ROUND(AVERAGEIFS(Datos!$G$2:$G$26103,Datos!$E$2:$E$26103,$A19,Datos!$B$2:$B$26103,23,Datos!$C$2:$C$26103,"&gt;=30",Datos!$F$2:$F$26103,"STANDBY"),0),"")</f>
        <v/>
      </c>
    </row>
    <row r="20">
      <c r="A20" s="6" t="inlineStr">
        <is>
          <t>Spider-Man W.E.B. Adventure</t>
        </is>
      </c>
      <c r="B20" s="7">
        <f>IFERROR(ROUND(AVERAGEIFS(Datos!$G$2:$G$26103,Datos!$E$2:$E$26103,$A20,Datos!$B$2:$B$26103,8,Datos!$C$2:$C$26103,"&lt;30",Datos!$F$2:$F$26103,"STANDBY"),0),"")</f>
        <v/>
      </c>
      <c r="C20" s="7">
        <f>IFERROR(ROUND(AVERAGEIFS(Datos!$G$2:$G$26103,Datos!$E$2:$E$26103,$A20,Datos!$B$2:$B$26103,8,Datos!$C$2:$C$26103,"&gt;=30",Datos!$F$2:$F$26103,"STANDBY"),0),"")</f>
        <v/>
      </c>
      <c r="D20" s="7">
        <f>IFERROR(ROUND(AVERAGEIFS(Datos!$G$2:$G$26103,Datos!$E$2:$E$26103,$A20,Datos!$B$2:$B$26103,9,Datos!$C$2:$C$26103,"&lt;30",Datos!$F$2:$F$26103,"STANDBY"),0),"")</f>
        <v/>
      </c>
      <c r="E20" s="7">
        <f>IFERROR(ROUND(AVERAGEIFS(Datos!$G$2:$G$26103,Datos!$E$2:$E$26103,$A20,Datos!$B$2:$B$26103,9,Datos!$C$2:$C$26103,"&gt;=30",Datos!$F$2:$F$26103,"STANDBY"),0),"")</f>
        <v/>
      </c>
      <c r="F20" s="7">
        <f>IFERROR(ROUND(AVERAGEIFS(Datos!$G$2:$G$26103,Datos!$E$2:$E$26103,$A20,Datos!$B$2:$B$26103,10,Datos!$C$2:$C$26103,"&lt;30",Datos!$F$2:$F$26103,"STANDBY"),0),"")</f>
        <v/>
      </c>
      <c r="G20" s="7">
        <f>IFERROR(ROUND(AVERAGEIFS(Datos!$G$2:$G$26103,Datos!$E$2:$E$26103,$A20,Datos!$B$2:$B$26103,10,Datos!$C$2:$C$26103,"&gt;=30",Datos!$F$2:$F$26103,"STANDBY"),0),"")</f>
        <v/>
      </c>
      <c r="H20" s="7">
        <f>IFERROR(ROUND(AVERAGEIFS(Datos!$G$2:$G$26103,Datos!$E$2:$E$26103,$A20,Datos!$B$2:$B$26103,11,Datos!$C$2:$C$26103,"&lt;30",Datos!$F$2:$F$26103,"STANDBY"),0),"")</f>
        <v/>
      </c>
      <c r="I20" s="7">
        <f>IFERROR(ROUND(AVERAGEIFS(Datos!$G$2:$G$26103,Datos!$E$2:$E$26103,$A20,Datos!$B$2:$B$26103,11,Datos!$C$2:$C$26103,"&gt;=30",Datos!$F$2:$F$26103,"STANDBY"),0),"")</f>
        <v/>
      </c>
      <c r="J20" s="7">
        <f>IFERROR(ROUND(AVERAGEIFS(Datos!$G$2:$G$26103,Datos!$E$2:$E$26103,$A20,Datos!$B$2:$B$26103,12,Datos!$C$2:$C$26103,"&lt;30",Datos!$F$2:$F$26103,"STANDBY"),0),"")</f>
        <v/>
      </c>
      <c r="K20" s="7">
        <f>IFERROR(ROUND(AVERAGEIFS(Datos!$G$2:$G$26103,Datos!$E$2:$E$26103,$A20,Datos!$B$2:$B$26103,12,Datos!$C$2:$C$26103,"&gt;=30",Datos!$F$2:$F$26103,"STANDBY"),0),"")</f>
        <v/>
      </c>
      <c r="L20" s="7">
        <f>IFERROR(ROUND(AVERAGEIFS(Datos!$G$2:$G$26103,Datos!$E$2:$E$26103,$A20,Datos!$B$2:$B$26103,13,Datos!$C$2:$C$26103,"&lt;30",Datos!$F$2:$F$26103,"STANDBY"),0),"")</f>
        <v/>
      </c>
      <c r="M20" s="7">
        <f>IFERROR(ROUND(AVERAGEIFS(Datos!$G$2:$G$26103,Datos!$E$2:$E$26103,$A20,Datos!$B$2:$B$26103,13,Datos!$C$2:$C$26103,"&gt;=30",Datos!$F$2:$F$26103,"STANDBY"),0),"")</f>
        <v/>
      </c>
      <c r="N20" s="7">
        <f>IFERROR(ROUND(AVERAGEIFS(Datos!$G$2:$G$26103,Datos!$E$2:$E$26103,$A20,Datos!$B$2:$B$26103,14,Datos!$C$2:$C$26103,"&lt;30",Datos!$F$2:$F$26103,"STANDBY"),0),"")</f>
        <v/>
      </c>
      <c r="O20" s="7">
        <f>IFERROR(ROUND(AVERAGEIFS(Datos!$G$2:$G$26103,Datos!$E$2:$E$26103,$A20,Datos!$B$2:$B$26103,14,Datos!$C$2:$C$26103,"&gt;=30",Datos!$F$2:$F$26103,"STANDBY"),0),"")</f>
        <v/>
      </c>
      <c r="P20" s="7">
        <f>IFERROR(ROUND(AVERAGEIFS(Datos!$G$2:$G$26103,Datos!$E$2:$E$26103,$A20,Datos!$B$2:$B$26103,15,Datos!$C$2:$C$26103,"&lt;30",Datos!$F$2:$F$26103,"STANDBY"),0),"")</f>
        <v/>
      </c>
      <c r="Q20" s="7">
        <f>IFERROR(ROUND(AVERAGEIFS(Datos!$G$2:$G$26103,Datos!$E$2:$E$26103,$A20,Datos!$B$2:$B$26103,15,Datos!$C$2:$C$26103,"&gt;=30",Datos!$F$2:$F$26103,"STANDBY"),0),"")</f>
        <v/>
      </c>
      <c r="R20" s="7">
        <f>IFERROR(ROUND(AVERAGEIFS(Datos!$G$2:$G$26103,Datos!$E$2:$E$26103,$A20,Datos!$B$2:$B$26103,16,Datos!$C$2:$C$26103,"&lt;30",Datos!$F$2:$F$26103,"STANDBY"),0),"")</f>
        <v/>
      </c>
      <c r="S20" s="7">
        <f>IFERROR(ROUND(AVERAGEIFS(Datos!$G$2:$G$26103,Datos!$E$2:$E$26103,$A20,Datos!$B$2:$B$26103,16,Datos!$C$2:$C$26103,"&gt;=30",Datos!$F$2:$F$26103,"STANDBY"),0),"")</f>
        <v/>
      </c>
      <c r="T20" s="7">
        <f>IFERROR(ROUND(AVERAGEIFS(Datos!$G$2:$G$26103,Datos!$E$2:$E$26103,$A20,Datos!$B$2:$B$26103,17,Datos!$C$2:$C$26103,"&lt;30",Datos!$F$2:$F$26103,"STANDBY"),0),"")</f>
        <v/>
      </c>
      <c r="U20" s="7">
        <f>IFERROR(ROUND(AVERAGEIFS(Datos!$G$2:$G$26103,Datos!$E$2:$E$26103,$A20,Datos!$B$2:$B$26103,17,Datos!$C$2:$C$26103,"&gt;=30",Datos!$F$2:$F$26103,"STANDBY"),0),"")</f>
        <v/>
      </c>
      <c r="V20" s="7">
        <f>IFERROR(ROUND(AVERAGEIFS(Datos!$G$2:$G$26103,Datos!$E$2:$E$26103,$A20,Datos!$B$2:$B$26103,18,Datos!$C$2:$C$26103,"&lt;30",Datos!$F$2:$F$26103,"STANDBY"),0),"")</f>
        <v/>
      </c>
      <c r="W20" s="7">
        <f>IFERROR(ROUND(AVERAGEIFS(Datos!$G$2:$G$26103,Datos!$E$2:$E$26103,$A20,Datos!$B$2:$B$26103,18,Datos!$C$2:$C$26103,"&gt;=30",Datos!$F$2:$F$26103,"STANDBY"),0),"")</f>
        <v/>
      </c>
      <c r="X20" s="7">
        <f>IFERROR(ROUND(AVERAGEIFS(Datos!$G$2:$G$26103,Datos!$E$2:$E$26103,$A20,Datos!$B$2:$B$26103,19,Datos!$C$2:$C$26103,"&lt;30",Datos!$F$2:$F$26103,"STANDBY"),0),"")</f>
        <v/>
      </c>
      <c r="Y20" s="7">
        <f>IFERROR(ROUND(AVERAGEIFS(Datos!$G$2:$G$26103,Datos!$E$2:$E$26103,$A20,Datos!$B$2:$B$26103,19,Datos!$C$2:$C$26103,"&gt;=30",Datos!$F$2:$F$26103,"STANDBY"),0),"")</f>
        <v/>
      </c>
      <c r="Z20" s="7">
        <f>IFERROR(ROUND(AVERAGEIFS(Datos!$G$2:$G$26103,Datos!$E$2:$E$26103,$A20,Datos!$B$2:$B$26103,20,Datos!$C$2:$C$26103,"&lt;30",Datos!$F$2:$F$26103,"STANDBY"),0),"")</f>
        <v/>
      </c>
      <c r="AA20" s="7">
        <f>IFERROR(ROUND(AVERAGEIFS(Datos!$G$2:$G$26103,Datos!$E$2:$E$26103,$A20,Datos!$B$2:$B$26103,20,Datos!$C$2:$C$26103,"&gt;=30",Datos!$F$2:$F$26103,"STANDBY"),0),"")</f>
        <v/>
      </c>
      <c r="AB20" s="7">
        <f>IFERROR(ROUND(AVERAGEIFS(Datos!$G$2:$G$26103,Datos!$E$2:$E$26103,$A20,Datos!$B$2:$B$26103,21,Datos!$C$2:$C$26103,"&lt;30",Datos!$F$2:$F$26103,"STANDBY"),0),"")</f>
        <v/>
      </c>
      <c r="AC20" s="7">
        <f>IFERROR(ROUND(AVERAGEIFS(Datos!$G$2:$G$26103,Datos!$E$2:$E$26103,$A20,Datos!$B$2:$B$26103,21,Datos!$C$2:$C$26103,"&gt;=30",Datos!$F$2:$F$26103,"STANDBY"),0),"")</f>
        <v/>
      </c>
      <c r="AD20" s="7">
        <f>IFERROR(ROUND(AVERAGEIFS(Datos!$G$2:$G$26103,Datos!$E$2:$E$26103,$A20,Datos!$B$2:$B$26103,22,Datos!$C$2:$C$26103,"&lt;30",Datos!$F$2:$F$26103,"STANDBY"),0),"")</f>
        <v/>
      </c>
      <c r="AE20" s="7">
        <f>IFERROR(ROUND(AVERAGEIFS(Datos!$G$2:$G$26103,Datos!$E$2:$E$26103,$A20,Datos!$B$2:$B$26103,22,Datos!$C$2:$C$26103,"&gt;=30",Datos!$F$2:$F$26103,"STANDBY"),0),"")</f>
        <v/>
      </c>
      <c r="AF20" s="7">
        <f>IFERROR(ROUND(AVERAGEIFS(Datos!$G$2:$G$26103,Datos!$E$2:$E$26103,$A20,Datos!$B$2:$B$26103,23,Datos!$C$2:$C$26103,"&lt;30",Datos!$F$2:$F$26103,"STANDBY"),0),"")</f>
        <v/>
      </c>
      <c r="AG20" s="7">
        <f>IFERROR(ROUND(AVERAGEIFS(Datos!$G$2:$G$26103,Datos!$E$2:$E$26103,$A20,Datos!$B$2:$B$26103,23,Datos!$C$2:$C$26103,"&gt;=30",Datos!$F$2:$F$26103,"STANDBY"),0),"")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IFERROR(ROUND(AVERAGEIFS(Datos!$G$2:$G$26103,Datos!$E$2:$E$26103,$A21,Datos!$B$2:$B$26103,8,Datos!$C$2:$C$26103,"&lt;30",Datos!$F$2:$F$26103,"STANDBY"),0),"")</f>
        <v/>
      </c>
      <c r="C21" s="7">
        <f>IFERROR(ROUND(AVERAGEIFS(Datos!$G$2:$G$26103,Datos!$E$2:$E$26103,$A21,Datos!$B$2:$B$26103,8,Datos!$C$2:$C$26103,"&gt;=30",Datos!$F$2:$F$26103,"STANDBY"),0),"")</f>
        <v/>
      </c>
      <c r="D21" s="7">
        <f>IFERROR(ROUND(AVERAGEIFS(Datos!$G$2:$G$26103,Datos!$E$2:$E$26103,$A21,Datos!$B$2:$B$26103,9,Datos!$C$2:$C$26103,"&lt;30",Datos!$F$2:$F$26103,"STANDBY"),0),"")</f>
        <v/>
      </c>
      <c r="E21" s="7">
        <f>IFERROR(ROUND(AVERAGEIFS(Datos!$G$2:$G$26103,Datos!$E$2:$E$26103,$A21,Datos!$B$2:$B$26103,9,Datos!$C$2:$C$26103,"&gt;=30",Datos!$F$2:$F$26103,"STANDBY"),0),"")</f>
        <v/>
      </c>
      <c r="F21" s="7">
        <f>IFERROR(ROUND(AVERAGEIFS(Datos!$G$2:$G$26103,Datos!$E$2:$E$26103,$A21,Datos!$B$2:$B$26103,10,Datos!$C$2:$C$26103,"&lt;30",Datos!$F$2:$F$26103,"STANDBY"),0),"")</f>
        <v/>
      </c>
      <c r="G21" s="7">
        <f>IFERROR(ROUND(AVERAGEIFS(Datos!$G$2:$G$26103,Datos!$E$2:$E$26103,$A21,Datos!$B$2:$B$26103,10,Datos!$C$2:$C$26103,"&gt;=30",Datos!$F$2:$F$26103,"STANDBY"),0),"")</f>
        <v/>
      </c>
      <c r="H21" s="7">
        <f>IFERROR(ROUND(AVERAGEIFS(Datos!$G$2:$G$26103,Datos!$E$2:$E$26103,$A21,Datos!$B$2:$B$26103,11,Datos!$C$2:$C$26103,"&lt;30",Datos!$F$2:$F$26103,"STANDBY"),0),"")</f>
        <v/>
      </c>
      <c r="I21" s="7">
        <f>IFERROR(ROUND(AVERAGEIFS(Datos!$G$2:$G$26103,Datos!$E$2:$E$26103,$A21,Datos!$B$2:$B$26103,11,Datos!$C$2:$C$26103,"&gt;=30",Datos!$F$2:$F$26103,"STANDBY"),0),"")</f>
        <v/>
      </c>
      <c r="J21" s="7">
        <f>IFERROR(ROUND(AVERAGEIFS(Datos!$G$2:$G$26103,Datos!$E$2:$E$26103,$A21,Datos!$B$2:$B$26103,12,Datos!$C$2:$C$26103,"&lt;30",Datos!$F$2:$F$26103,"STANDBY"),0),"")</f>
        <v/>
      </c>
      <c r="K21" s="7">
        <f>IFERROR(ROUND(AVERAGEIFS(Datos!$G$2:$G$26103,Datos!$E$2:$E$26103,$A21,Datos!$B$2:$B$26103,12,Datos!$C$2:$C$26103,"&gt;=30",Datos!$F$2:$F$26103,"STANDBY"),0),"")</f>
        <v/>
      </c>
      <c r="L21" s="7">
        <f>IFERROR(ROUND(AVERAGEIFS(Datos!$G$2:$G$26103,Datos!$E$2:$E$26103,$A21,Datos!$B$2:$B$26103,13,Datos!$C$2:$C$26103,"&lt;30",Datos!$F$2:$F$26103,"STANDBY"),0),"")</f>
        <v/>
      </c>
      <c r="M21" s="7">
        <f>IFERROR(ROUND(AVERAGEIFS(Datos!$G$2:$G$26103,Datos!$E$2:$E$26103,$A21,Datos!$B$2:$B$26103,13,Datos!$C$2:$C$26103,"&gt;=30",Datos!$F$2:$F$26103,"STANDBY"),0),"")</f>
        <v/>
      </c>
      <c r="N21" s="7">
        <f>IFERROR(ROUND(AVERAGEIFS(Datos!$G$2:$G$26103,Datos!$E$2:$E$26103,$A21,Datos!$B$2:$B$26103,14,Datos!$C$2:$C$26103,"&lt;30",Datos!$F$2:$F$26103,"STANDBY"),0),"")</f>
        <v/>
      </c>
      <c r="O21" s="7">
        <f>IFERROR(ROUND(AVERAGEIFS(Datos!$G$2:$G$26103,Datos!$E$2:$E$26103,$A21,Datos!$B$2:$B$26103,14,Datos!$C$2:$C$26103,"&gt;=30",Datos!$F$2:$F$26103,"STANDBY"),0),"")</f>
        <v/>
      </c>
      <c r="P21" s="7">
        <f>IFERROR(ROUND(AVERAGEIFS(Datos!$G$2:$G$26103,Datos!$E$2:$E$26103,$A21,Datos!$B$2:$B$26103,15,Datos!$C$2:$C$26103,"&lt;30",Datos!$F$2:$F$26103,"STANDBY"),0),"")</f>
        <v/>
      </c>
      <c r="Q21" s="7">
        <f>IFERROR(ROUND(AVERAGEIFS(Datos!$G$2:$G$26103,Datos!$E$2:$E$26103,$A21,Datos!$B$2:$B$26103,15,Datos!$C$2:$C$26103,"&gt;=30",Datos!$F$2:$F$26103,"STANDBY"),0),"")</f>
        <v/>
      </c>
      <c r="R21" s="7">
        <f>IFERROR(ROUND(AVERAGEIFS(Datos!$G$2:$G$26103,Datos!$E$2:$E$26103,$A21,Datos!$B$2:$B$26103,16,Datos!$C$2:$C$26103,"&lt;30",Datos!$F$2:$F$26103,"STANDBY"),0),"")</f>
        <v/>
      </c>
      <c r="S21" s="7">
        <f>IFERROR(ROUND(AVERAGEIFS(Datos!$G$2:$G$26103,Datos!$E$2:$E$26103,$A21,Datos!$B$2:$B$26103,16,Datos!$C$2:$C$26103,"&gt;=30",Datos!$F$2:$F$26103,"STANDBY"),0),"")</f>
        <v/>
      </c>
      <c r="T21" s="7">
        <f>IFERROR(ROUND(AVERAGEIFS(Datos!$G$2:$G$26103,Datos!$E$2:$E$26103,$A21,Datos!$B$2:$B$26103,17,Datos!$C$2:$C$26103,"&lt;30",Datos!$F$2:$F$26103,"STANDBY"),0),"")</f>
        <v/>
      </c>
      <c r="U21" s="7">
        <f>IFERROR(ROUND(AVERAGEIFS(Datos!$G$2:$G$26103,Datos!$E$2:$E$26103,$A21,Datos!$B$2:$B$26103,17,Datos!$C$2:$C$26103,"&gt;=30",Datos!$F$2:$F$26103,"STANDBY"),0),"")</f>
        <v/>
      </c>
      <c r="V21" s="7">
        <f>IFERROR(ROUND(AVERAGEIFS(Datos!$G$2:$G$26103,Datos!$E$2:$E$26103,$A21,Datos!$B$2:$B$26103,18,Datos!$C$2:$C$26103,"&lt;30",Datos!$F$2:$F$26103,"STANDBY"),0),"")</f>
        <v/>
      </c>
      <c r="W21" s="7">
        <f>IFERROR(ROUND(AVERAGEIFS(Datos!$G$2:$G$26103,Datos!$E$2:$E$26103,$A21,Datos!$B$2:$B$26103,18,Datos!$C$2:$C$26103,"&gt;=30",Datos!$F$2:$F$26103,"STANDBY"),0),"")</f>
        <v/>
      </c>
      <c r="X21" s="7">
        <f>IFERROR(ROUND(AVERAGEIFS(Datos!$G$2:$G$26103,Datos!$E$2:$E$26103,$A21,Datos!$B$2:$B$26103,19,Datos!$C$2:$C$26103,"&lt;30",Datos!$F$2:$F$26103,"STANDBY"),0),"")</f>
        <v/>
      </c>
      <c r="Y21" s="7">
        <f>IFERROR(ROUND(AVERAGEIFS(Datos!$G$2:$G$26103,Datos!$E$2:$E$26103,$A21,Datos!$B$2:$B$26103,19,Datos!$C$2:$C$26103,"&gt;=30",Datos!$F$2:$F$26103,"STANDBY"),0),"")</f>
        <v/>
      </c>
      <c r="Z21" s="7">
        <f>IFERROR(ROUND(AVERAGEIFS(Datos!$G$2:$G$26103,Datos!$E$2:$E$26103,$A21,Datos!$B$2:$B$26103,20,Datos!$C$2:$C$26103,"&lt;30",Datos!$F$2:$F$26103,"STANDBY"),0),"")</f>
        <v/>
      </c>
      <c r="AA21" s="7">
        <f>IFERROR(ROUND(AVERAGEIFS(Datos!$G$2:$G$26103,Datos!$E$2:$E$26103,$A21,Datos!$B$2:$B$26103,20,Datos!$C$2:$C$26103,"&gt;=30",Datos!$F$2:$F$26103,"STANDBY"),0),"")</f>
        <v/>
      </c>
      <c r="AB21" s="7">
        <f>IFERROR(ROUND(AVERAGEIFS(Datos!$G$2:$G$26103,Datos!$E$2:$E$26103,$A21,Datos!$B$2:$B$26103,21,Datos!$C$2:$C$26103,"&lt;30",Datos!$F$2:$F$26103,"STANDBY"),0),"")</f>
        <v/>
      </c>
      <c r="AC21" s="7">
        <f>IFERROR(ROUND(AVERAGEIFS(Datos!$G$2:$G$26103,Datos!$E$2:$E$26103,$A21,Datos!$B$2:$B$26103,21,Datos!$C$2:$C$26103,"&gt;=30",Datos!$F$2:$F$26103,"STANDBY"),0),"")</f>
        <v/>
      </c>
      <c r="AD21" s="7">
        <f>IFERROR(ROUND(AVERAGEIFS(Datos!$G$2:$G$26103,Datos!$E$2:$E$26103,$A21,Datos!$B$2:$B$26103,22,Datos!$C$2:$C$26103,"&lt;30",Datos!$F$2:$F$26103,"STANDBY"),0),"")</f>
        <v/>
      </c>
      <c r="AE21" s="7">
        <f>IFERROR(ROUND(AVERAGEIFS(Datos!$G$2:$G$26103,Datos!$E$2:$E$26103,$A21,Datos!$B$2:$B$26103,22,Datos!$C$2:$C$26103,"&gt;=30",Datos!$F$2:$F$26103,"STANDBY"),0),"")</f>
        <v/>
      </c>
      <c r="AF21" s="7">
        <f>IFERROR(ROUND(AVERAGEIFS(Datos!$G$2:$G$26103,Datos!$E$2:$E$26103,$A21,Datos!$B$2:$B$26103,23,Datos!$C$2:$C$26103,"&lt;30",Datos!$F$2:$F$26103,"STANDBY"),0),"")</f>
        <v/>
      </c>
      <c r="AG21" s="7">
        <f>IFERROR(ROUND(AVERAGEIFS(Datos!$G$2:$G$26103,Datos!$E$2:$E$26103,$A21,Datos!$B$2:$B$26103,23,Datos!$C$2:$C$26103,"&gt;=30",Datos!$F$2:$F$26103,"STANDBY"),0),"")</f>
        <v/>
      </c>
    </row>
    <row r="22">
      <c r="A22" s="6" t="inlineStr">
        <is>
          <t>The Twilight Zone Tower of Terror</t>
        </is>
      </c>
      <c r="B22" s="7">
        <f>IFERROR(ROUND(AVERAGEIFS(Datos!$G$2:$G$26103,Datos!$E$2:$E$26103,$A22,Datos!$B$2:$B$26103,8,Datos!$C$2:$C$26103,"&lt;30",Datos!$F$2:$F$26103,"STANDBY"),0),"")</f>
        <v/>
      </c>
      <c r="C22" s="7">
        <f>IFERROR(ROUND(AVERAGEIFS(Datos!$G$2:$G$26103,Datos!$E$2:$E$26103,$A22,Datos!$B$2:$B$26103,8,Datos!$C$2:$C$26103,"&gt;=30",Datos!$F$2:$F$26103,"STANDBY"),0),"")</f>
        <v/>
      </c>
      <c r="D22" s="7">
        <f>IFERROR(ROUND(AVERAGEIFS(Datos!$G$2:$G$26103,Datos!$E$2:$E$26103,$A22,Datos!$B$2:$B$26103,9,Datos!$C$2:$C$26103,"&lt;30",Datos!$F$2:$F$26103,"STANDBY"),0),"")</f>
        <v/>
      </c>
      <c r="E22" s="7">
        <f>IFERROR(ROUND(AVERAGEIFS(Datos!$G$2:$G$26103,Datos!$E$2:$E$26103,$A22,Datos!$B$2:$B$26103,9,Datos!$C$2:$C$26103,"&gt;=30",Datos!$F$2:$F$26103,"STANDBY"),0),"")</f>
        <v/>
      </c>
      <c r="F22" s="7">
        <f>IFERROR(ROUND(AVERAGEIFS(Datos!$G$2:$G$26103,Datos!$E$2:$E$26103,$A22,Datos!$B$2:$B$26103,10,Datos!$C$2:$C$26103,"&lt;30",Datos!$F$2:$F$26103,"STANDBY"),0),"")</f>
        <v/>
      </c>
      <c r="G22" s="7">
        <f>IFERROR(ROUND(AVERAGEIFS(Datos!$G$2:$G$26103,Datos!$E$2:$E$26103,$A22,Datos!$B$2:$B$26103,10,Datos!$C$2:$C$26103,"&gt;=30",Datos!$F$2:$F$26103,"STANDBY"),0),"")</f>
        <v/>
      </c>
      <c r="H22" s="7">
        <f>IFERROR(ROUND(AVERAGEIFS(Datos!$G$2:$G$26103,Datos!$E$2:$E$26103,$A22,Datos!$B$2:$B$26103,11,Datos!$C$2:$C$26103,"&lt;30",Datos!$F$2:$F$26103,"STANDBY"),0),"")</f>
        <v/>
      </c>
      <c r="I22" s="7">
        <f>IFERROR(ROUND(AVERAGEIFS(Datos!$G$2:$G$26103,Datos!$E$2:$E$26103,$A22,Datos!$B$2:$B$26103,11,Datos!$C$2:$C$26103,"&gt;=30",Datos!$F$2:$F$26103,"STANDBY"),0),"")</f>
        <v/>
      </c>
      <c r="J22" s="7">
        <f>IFERROR(ROUND(AVERAGEIFS(Datos!$G$2:$G$26103,Datos!$E$2:$E$26103,$A22,Datos!$B$2:$B$26103,12,Datos!$C$2:$C$26103,"&lt;30",Datos!$F$2:$F$26103,"STANDBY"),0),"")</f>
        <v/>
      </c>
      <c r="K22" s="7">
        <f>IFERROR(ROUND(AVERAGEIFS(Datos!$G$2:$G$26103,Datos!$E$2:$E$26103,$A22,Datos!$B$2:$B$26103,12,Datos!$C$2:$C$26103,"&gt;=30",Datos!$F$2:$F$26103,"STANDBY"),0),"")</f>
        <v/>
      </c>
      <c r="L22" s="7">
        <f>IFERROR(ROUND(AVERAGEIFS(Datos!$G$2:$G$26103,Datos!$E$2:$E$26103,$A22,Datos!$B$2:$B$26103,13,Datos!$C$2:$C$26103,"&lt;30",Datos!$F$2:$F$26103,"STANDBY"),0),"")</f>
        <v/>
      </c>
      <c r="M22" s="7">
        <f>IFERROR(ROUND(AVERAGEIFS(Datos!$G$2:$G$26103,Datos!$E$2:$E$26103,$A22,Datos!$B$2:$B$26103,13,Datos!$C$2:$C$26103,"&gt;=30",Datos!$F$2:$F$26103,"STANDBY"),0),"")</f>
        <v/>
      </c>
      <c r="N22" s="7">
        <f>IFERROR(ROUND(AVERAGEIFS(Datos!$G$2:$G$26103,Datos!$E$2:$E$26103,$A22,Datos!$B$2:$B$26103,14,Datos!$C$2:$C$26103,"&lt;30",Datos!$F$2:$F$26103,"STANDBY"),0),"")</f>
        <v/>
      </c>
      <c r="O22" s="7">
        <f>IFERROR(ROUND(AVERAGEIFS(Datos!$G$2:$G$26103,Datos!$E$2:$E$26103,$A22,Datos!$B$2:$B$26103,14,Datos!$C$2:$C$26103,"&gt;=30",Datos!$F$2:$F$26103,"STANDBY"),0),"")</f>
        <v/>
      </c>
      <c r="P22" s="7">
        <f>IFERROR(ROUND(AVERAGEIFS(Datos!$G$2:$G$26103,Datos!$E$2:$E$26103,$A22,Datos!$B$2:$B$26103,15,Datos!$C$2:$C$26103,"&lt;30",Datos!$F$2:$F$26103,"STANDBY"),0),"")</f>
        <v/>
      </c>
      <c r="Q22" s="7">
        <f>IFERROR(ROUND(AVERAGEIFS(Datos!$G$2:$G$26103,Datos!$E$2:$E$26103,$A22,Datos!$B$2:$B$26103,15,Datos!$C$2:$C$26103,"&gt;=30",Datos!$F$2:$F$26103,"STANDBY"),0),"")</f>
        <v/>
      </c>
      <c r="R22" s="7">
        <f>IFERROR(ROUND(AVERAGEIFS(Datos!$G$2:$G$26103,Datos!$E$2:$E$26103,$A22,Datos!$B$2:$B$26103,16,Datos!$C$2:$C$26103,"&lt;30",Datos!$F$2:$F$26103,"STANDBY"),0),"")</f>
        <v/>
      </c>
      <c r="S22" s="7">
        <f>IFERROR(ROUND(AVERAGEIFS(Datos!$G$2:$G$26103,Datos!$E$2:$E$26103,$A22,Datos!$B$2:$B$26103,16,Datos!$C$2:$C$26103,"&gt;=30",Datos!$F$2:$F$26103,"STANDBY"),0),"")</f>
        <v/>
      </c>
      <c r="T22" s="7">
        <f>IFERROR(ROUND(AVERAGEIFS(Datos!$G$2:$G$26103,Datos!$E$2:$E$26103,$A22,Datos!$B$2:$B$26103,17,Datos!$C$2:$C$26103,"&lt;30",Datos!$F$2:$F$26103,"STANDBY"),0),"")</f>
        <v/>
      </c>
      <c r="U22" s="7">
        <f>IFERROR(ROUND(AVERAGEIFS(Datos!$G$2:$G$26103,Datos!$E$2:$E$26103,$A22,Datos!$B$2:$B$26103,17,Datos!$C$2:$C$26103,"&gt;=30",Datos!$F$2:$F$26103,"STANDBY"),0),"")</f>
        <v/>
      </c>
      <c r="V22" s="7">
        <f>IFERROR(ROUND(AVERAGEIFS(Datos!$G$2:$G$26103,Datos!$E$2:$E$26103,$A22,Datos!$B$2:$B$26103,18,Datos!$C$2:$C$26103,"&lt;30",Datos!$F$2:$F$26103,"STANDBY"),0),"")</f>
        <v/>
      </c>
      <c r="W22" s="7">
        <f>IFERROR(ROUND(AVERAGEIFS(Datos!$G$2:$G$26103,Datos!$E$2:$E$26103,$A22,Datos!$B$2:$B$26103,18,Datos!$C$2:$C$26103,"&gt;=30",Datos!$F$2:$F$26103,"STANDBY"),0),"")</f>
        <v/>
      </c>
      <c r="X22" s="7">
        <f>IFERROR(ROUND(AVERAGEIFS(Datos!$G$2:$G$26103,Datos!$E$2:$E$26103,$A22,Datos!$B$2:$B$26103,19,Datos!$C$2:$C$26103,"&lt;30",Datos!$F$2:$F$26103,"STANDBY"),0),"")</f>
        <v/>
      </c>
      <c r="Y22" s="7">
        <f>IFERROR(ROUND(AVERAGEIFS(Datos!$G$2:$G$26103,Datos!$E$2:$E$26103,$A22,Datos!$B$2:$B$26103,19,Datos!$C$2:$C$26103,"&gt;=30",Datos!$F$2:$F$26103,"STANDBY"),0),"")</f>
        <v/>
      </c>
      <c r="Z22" s="7">
        <f>IFERROR(ROUND(AVERAGEIFS(Datos!$G$2:$G$26103,Datos!$E$2:$E$26103,$A22,Datos!$B$2:$B$26103,20,Datos!$C$2:$C$26103,"&lt;30",Datos!$F$2:$F$26103,"STANDBY"),0),"")</f>
        <v/>
      </c>
      <c r="AA22" s="7">
        <f>IFERROR(ROUND(AVERAGEIFS(Datos!$G$2:$G$26103,Datos!$E$2:$E$26103,$A22,Datos!$B$2:$B$26103,20,Datos!$C$2:$C$26103,"&gt;=30",Datos!$F$2:$F$26103,"STANDBY"),0),"")</f>
        <v/>
      </c>
      <c r="AB22" s="7">
        <f>IFERROR(ROUND(AVERAGEIFS(Datos!$G$2:$G$26103,Datos!$E$2:$E$26103,$A22,Datos!$B$2:$B$26103,21,Datos!$C$2:$C$26103,"&lt;30",Datos!$F$2:$F$26103,"STANDBY"),0),"")</f>
        <v/>
      </c>
      <c r="AC22" s="7">
        <f>IFERROR(ROUND(AVERAGEIFS(Datos!$G$2:$G$26103,Datos!$E$2:$E$26103,$A22,Datos!$B$2:$B$26103,21,Datos!$C$2:$C$26103,"&gt;=30",Datos!$F$2:$F$26103,"STANDBY"),0),"")</f>
        <v/>
      </c>
      <c r="AD22" s="7">
        <f>IFERROR(ROUND(AVERAGEIFS(Datos!$G$2:$G$26103,Datos!$E$2:$E$26103,$A22,Datos!$B$2:$B$26103,22,Datos!$C$2:$C$26103,"&lt;30",Datos!$F$2:$F$26103,"STANDBY"),0),"")</f>
        <v/>
      </c>
      <c r="AE22" s="7">
        <f>IFERROR(ROUND(AVERAGEIFS(Datos!$G$2:$G$26103,Datos!$E$2:$E$26103,$A22,Datos!$B$2:$B$26103,22,Datos!$C$2:$C$26103,"&gt;=30",Datos!$F$2:$F$26103,"STANDBY"),0),"")</f>
        <v/>
      </c>
      <c r="AF22" s="7">
        <f>IFERROR(ROUND(AVERAGEIFS(Datos!$G$2:$G$26103,Datos!$E$2:$E$26103,$A22,Datos!$B$2:$B$26103,23,Datos!$C$2:$C$26103,"&lt;30",Datos!$F$2:$F$26103,"STANDBY"),0),"")</f>
        <v/>
      </c>
      <c r="AG22" s="7">
        <f>IFERROR(ROUND(AVERAGEIFS(Datos!$G$2:$G$26103,Datos!$E$2:$E$26103,$A22,Datos!$B$2:$B$26103,23,Datos!$C$2:$C$26103,"&gt;=30",Datos!$F$2:$F$26103,"STANDBY"),0),"")</f>
        <v/>
      </c>
    </row>
    <row r="23">
      <c r="A23" s="6" t="inlineStr">
        <is>
          <t>Toy Soldiers Parachute Drop</t>
        </is>
      </c>
      <c r="B23" s="7">
        <f>IFERROR(ROUND(AVERAGEIFS(Datos!$G$2:$G$26103,Datos!$E$2:$E$26103,$A23,Datos!$B$2:$B$26103,8,Datos!$C$2:$C$26103,"&lt;30",Datos!$F$2:$F$26103,"STANDBY"),0),"")</f>
        <v/>
      </c>
      <c r="C23" s="7">
        <f>IFERROR(ROUND(AVERAGEIFS(Datos!$G$2:$G$26103,Datos!$E$2:$E$26103,$A23,Datos!$B$2:$B$26103,8,Datos!$C$2:$C$26103,"&gt;=30",Datos!$F$2:$F$26103,"STANDBY"),0),"")</f>
        <v/>
      </c>
      <c r="D23" s="7">
        <f>IFERROR(ROUND(AVERAGEIFS(Datos!$G$2:$G$26103,Datos!$E$2:$E$26103,$A23,Datos!$B$2:$B$26103,9,Datos!$C$2:$C$26103,"&lt;30",Datos!$F$2:$F$26103,"STANDBY"),0),"")</f>
        <v/>
      </c>
      <c r="E23" s="7">
        <f>IFERROR(ROUND(AVERAGEIFS(Datos!$G$2:$G$26103,Datos!$E$2:$E$26103,$A23,Datos!$B$2:$B$26103,9,Datos!$C$2:$C$26103,"&gt;=30",Datos!$F$2:$F$26103,"STANDBY"),0),"")</f>
        <v/>
      </c>
      <c r="F23" s="7">
        <f>IFERROR(ROUND(AVERAGEIFS(Datos!$G$2:$G$26103,Datos!$E$2:$E$26103,$A23,Datos!$B$2:$B$26103,10,Datos!$C$2:$C$26103,"&lt;30",Datos!$F$2:$F$26103,"STANDBY"),0),"")</f>
        <v/>
      </c>
      <c r="G23" s="7">
        <f>IFERROR(ROUND(AVERAGEIFS(Datos!$G$2:$G$26103,Datos!$E$2:$E$26103,$A23,Datos!$B$2:$B$26103,10,Datos!$C$2:$C$26103,"&gt;=30",Datos!$F$2:$F$26103,"STANDBY"),0),"")</f>
        <v/>
      </c>
      <c r="H23" s="7">
        <f>IFERROR(ROUND(AVERAGEIFS(Datos!$G$2:$G$26103,Datos!$E$2:$E$26103,$A23,Datos!$B$2:$B$26103,11,Datos!$C$2:$C$26103,"&lt;30",Datos!$F$2:$F$26103,"STANDBY"),0),"")</f>
        <v/>
      </c>
      <c r="I23" s="7">
        <f>IFERROR(ROUND(AVERAGEIFS(Datos!$G$2:$G$26103,Datos!$E$2:$E$26103,$A23,Datos!$B$2:$B$26103,11,Datos!$C$2:$C$26103,"&gt;=30",Datos!$F$2:$F$26103,"STANDBY"),0),"")</f>
        <v/>
      </c>
      <c r="J23" s="7">
        <f>IFERROR(ROUND(AVERAGEIFS(Datos!$G$2:$G$26103,Datos!$E$2:$E$26103,$A23,Datos!$B$2:$B$26103,12,Datos!$C$2:$C$26103,"&lt;30",Datos!$F$2:$F$26103,"STANDBY"),0),"")</f>
        <v/>
      </c>
      <c r="K23" s="7">
        <f>IFERROR(ROUND(AVERAGEIFS(Datos!$G$2:$G$26103,Datos!$E$2:$E$26103,$A23,Datos!$B$2:$B$26103,12,Datos!$C$2:$C$26103,"&gt;=30",Datos!$F$2:$F$26103,"STANDBY"),0),"")</f>
        <v/>
      </c>
      <c r="L23" s="7">
        <f>IFERROR(ROUND(AVERAGEIFS(Datos!$G$2:$G$26103,Datos!$E$2:$E$26103,$A23,Datos!$B$2:$B$26103,13,Datos!$C$2:$C$26103,"&lt;30",Datos!$F$2:$F$26103,"STANDBY"),0),"")</f>
        <v/>
      </c>
      <c r="M23" s="7">
        <f>IFERROR(ROUND(AVERAGEIFS(Datos!$G$2:$G$26103,Datos!$E$2:$E$26103,$A23,Datos!$B$2:$B$26103,13,Datos!$C$2:$C$26103,"&gt;=30",Datos!$F$2:$F$26103,"STANDBY"),0),"")</f>
        <v/>
      </c>
      <c r="N23" s="7">
        <f>IFERROR(ROUND(AVERAGEIFS(Datos!$G$2:$G$26103,Datos!$E$2:$E$26103,$A23,Datos!$B$2:$B$26103,14,Datos!$C$2:$C$26103,"&lt;30",Datos!$F$2:$F$26103,"STANDBY"),0),"")</f>
        <v/>
      </c>
      <c r="O23" s="7">
        <f>IFERROR(ROUND(AVERAGEIFS(Datos!$G$2:$G$26103,Datos!$E$2:$E$26103,$A23,Datos!$B$2:$B$26103,14,Datos!$C$2:$C$26103,"&gt;=30",Datos!$F$2:$F$26103,"STANDBY"),0),"")</f>
        <v/>
      </c>
      <c r="P23" s="7">
        <f>IFERROR(ROUND(AVERAGEIFS(Datos!$G$2:$G$26103,Datos!$E$2:$E$26103,$A23,Datos!$B$2:$B$26103,15,Datos!$C$2:$C$26103,"&lt;30",Datos!$F$2:$F$26103,"STANDBY"),0),"")</f>
        <v/>
      </c>
      <c r="Q23" s="7">
        <f>IFERROR(ROUND(AVERAGEIFS(Datos!$G$2:$G$26103,Datos!$E$2:$E$26103,$A23,Datos!$B$2:$B$26103,15,Datos!$C$2:$C$26103,"&gt;=30",Datos!$F$2:$F$26103,"STANDBY"),0),"")</f>
        <v/>
      </c>
      <c r="R23" s="7">
        <f>IFERROR(ROUND(AVERAGEIFS(Datos!$G$2:$G$26103,Datos!$E$2:$E$26103,$A23,Datos!$B$2:$B$26103,16,Datos!$C$2:$C$26103,"&lt;30",Datos!$F$2:$F$26103,"STANDBY"),0),"")</f>
        <v/>
      </c>
      <c r="S23" s="7">
        <f>IFERROR(ROUND(AVERAGEIFS(Datos!$G$2:$G$26103,Datos!$E$2:$E$26103,$A23,Datos!$B$2:$B$26103,16,Datos!$C$2:$C$26103,"&gt;=30",Datos!$F$2:$F$26103,"STANDBY"),0),"")</f>
        <v/>
      </c>
      <c r="T23" s="7">
        <f>IFERROR(ROUND(AVERAGEIFS(Datos!$G$2:$G$26103,Datos!$E$2:$E$26103,$A23,Datos!$B$2:$B$26103,17,Datos!$C$2:$C$26103,"&lt;30",Datos!$F$2:$F$26103,"STANDBY"),0),"")</f>
        <v/>
      </c>
      <c r="U23" s="7">
        <f>IFERROR(ROUND(AVERAGEIFS(Datos!$G$2:$G$26103,Datos!$E$2:$E$26103,$A23,Datos!$B$2:$B$26103,17,Datos!$C$2:$C$26103,"&gt;=30",Datos!$F$2:$F$26103,"STANDBY"),0),"")</f>
        <v/>
      </c>
      <c r="V23" s="7">
        <f>IFERROR(ROUND(AVERAGEIFS(Datos!$G$2:$G$26103,Datos!$E$2:$E$26103,$A23,Datos!$B$2:$B$26103,18,Datos!$C$2:$C$26103,"&lt;30",Datos!$F$2:$F$26103,"STANDBY"),0),"")</f>
        <v/>
      </c>
      <c r="W23" s="7">
        <f>IFERROR(ROUND(AVERAGEIFS(Datos!$G$2:$G$26103,Datos!$E$2:$E$26103,$A23,Datos!$B$2:$B$26103,18,Datos!$C$2:$C$26103,"&gt;=30",Datos!$F$2:$F$26103,"STANDBY"),0),"")</f>
        <v/>
      </c>
      <c r="X23" s="7">
        <f>IFERROR(ROUND(AVERAGEIFS(Datos!$G$2:$G$26103,Datos!$E$2:$E$26103,$A23,Datos!$B$2:$B$26103,19,Datos!$C$2:$C$26103,"&lt;30",Datos!$F$2:$F$26103,"STANDBY"),0),"")</f>
        <v/>
      </c>
      <c r="Y23" s="7">
        <f>IFERROR(ROUND(AVERAGEIFS(Datos!$G$2:$G$26103,Datos!$E$2:$E$26103,$A23,Datos!$B$2:$B$26103,19,Datos!$C$2:$C$26103,"&gt;=30",Datos!$F$2:$F$26103,"STANDBY"),0),"")</f>
        <v/>
      </c>
      <c r="Z23" s="7">
        <f>IFERROR(ROUND(AVERAGEIFS(Datos!$G$2:$G$26103,Datos!$E$2:$E$26103,$A23,Datos!$B$2:$B$26103,20,Datos!$C$2:$C$26103,"&lt;30",Datos!$F$2:$F$26103,"STANDBY"),0),"")</f>
        <v/>
      </c>
      <c r="AA23" s="7">
        <f>IFERROR(ROUND(AVERAGEIFS(Datos!$G$2:$G$26103,Datos!$E$2:$E$26103,$A23,Datos!$B$2:$B$26103,20,Datos!$C$2:$C$26103,"&gt;=30",Datos!$F$2:$F$26103,"STANDBY"),0),"")</f>
        <v/>
      </c>
      <c r="AB23" s="7">
        <f>IFERROR(ROUND(AVERAGEIFS(Datos!$G$2:$G$26103,Datos!$E$2:$E$26103,$A23,Datos!$B$2:$B$26103,21,Datos!$C$2:$C$26103,"&lt;30",Datos!$F$2:$F$26103,"STANDBY"),0),"")</f>
        <v/>
      </c>
      <c r="AC23" s="7">
        <f>IFERROR(ROUND(AVERAGEIFS(Datos!$G$2:$G$26103,Datos!$E$2:$E$26103,$A23,Datos!$B$2:$B$26103,21,Datos!$C$2:$C$26103,"&gt;=30",Datos!$F$2:$F$26103,"STANDBY"),0),"")</f>
        <v/>
      </c>
      <c r="AD23" s="7">
        <f>IFERROR(ROUND(AVERAGEIFS(Datos!$G$2:$G$26103,Datos!$E$2:$E$26103,$A23,Datos!$B$2:$B$26103,22,Datos!$C$2:$C$26103,"&lt;30",Datos!$F$2:$F$26103,"STANDBY"),0),"")</f>
        <v/>
      </c>
      <c r="AE23" s="7">
        <f>IFERROR(ROUND(AVERAGEIFS(Datos!$G$2:$G$26103,Datos!$E$2:$E$26103,$A23,Datos!$B$2:$B$26103,22,Datos!$C$2:$C$26103,"&gt;=30",Datos!$F$2:$F$26103,"STANDBY"),0),"")</f>
        <v/>
      </c>
      <c r="AF23" s="7">
        <f>IFERROR(ROUND(AVERAGEIFS(Datos!$G$2:$G$26103,Datos!$E$2:$E$26103,$A23,Datos!$B$2:$B$26103,23,Datos!$C$2:$C$26103,"&lt;30",Datos!$F$2:$F$26103,"STANDBY"),0),"")</f>
        <v/>
      </c>
      <c r="AG23" s="7">
        <f>IFERROR(ROUND(AVERAGEIFS(Datos!$G$2:$G$26103,Datos!$E$2:$E$26103,$A23,Datos!$B$2:$B$26103,23,Datos!$C$2:$C$26103,"&gt;=30",Datos!$F$2:$F$26103,"STANDBY"),0),"")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IFERROR(ROUND(AVERAGEIFS(Datos!$G$2:$G$26103,Datos!$E$2:$E$26103,$A24,Datos!$B$2:$B$26103,8,Datos!$C$2:$C$26103,"&lt;30",Datos!$F$2:$F$26103,"STANDBY"),0),"")</f>
        <v/>
      </c>
      <c r="C24" s="7">
        <f>IFERROR(ROUND(AVERAGEIFS(Datos!$G$2:$G$26103,Datos!$E$2:$E$26103,$A24,Datos!$B$2:$B$26103,8,Datos!$C$2:$C$26103,"&gt;=30",Datos!$F$2:$F$26103,"STANDBY"),0),"")</f>
        <v/>
      </c>
      <c r="D24" s="7">
        <f>IFERROR(ROUND(AVERAGEIFS(Datos!$G$2:$G$26103,Datos!$E$2:$E$26103,$A24,Datos!$B$2:$B$26103,9,Datos!$C$2:$C$26103,"&lt;30",Datos!$F$2:$F$26103,"STANDBY"),0),"")</f>
        <v/>
      </c>
      <c r="E24" s="7">
        <f>IFERROR(ROUND(AVERAGEIFS(Datos!$G$2:$G$26103,Datos!$E$2:$E$26103,$A24,Datos!$B$2:$B$26103,9,Datos!$C$2:$C$26103,"&gt;=30",Datos!$F$2:$F$26103,"STANDBY"),0),"")</f>
        <v/>
      </c>
      <c r="F24" s="7">
        <f>IFERROR(ROUND(AVERAGEIFS(Datos!$G$2:$G$26103,Datos!$E$2:$E$26103,$A24,Datos!$B$2:$B$26103,10,Datos!$C$2:$C$26103,"&lt;30",Datos!$F$2:$F$26103,"STANDBY"),0),"")</f>
        <v/>
      </c>
      <c r="G24" s="7">
        <f>IFERROR(ROUND(AVERAGEIFS(Datos!$G$2:$G$26103,Datos!$E$2:$E$26103,$A24,Datos!$B$2:$B$26103,10,Datos!$C$2:$C$26103,"&gt;=30",Datos!$F$2:$F$26103,"STANDBY"),0),"")</f>
        <v/>
      </c>
      <c r="H24" s="7">
        <f>IFERROR(ROUND(AVERAGEIFS(Datos!$G$2:$G$26103,Datos!$E$2:$E$26103,$A24,Datos!$B$2:$B$26103,11,Datos!$C$2:$C$26103,"&lt;30",Datos!$F$2:$F$26103,"STANDBY"),0),"")</f>
        <v/>
      </c>
      <c r="I24" s="7">
        <f>IFERROR(ROUND(AVERAGEIFS(Datos!$G$2:$G$26103,Datos!$E$2:$E$26103,$A24,Datos!$B$2:$B$26103,11,Datos!$C$2:$C$26103,"&gt;=30",Datos!$F$2:$F$26103,"STANDBY"),0),"")</f>
        <v/>
      </c>
      <c r="J24" s="7">
        <f>IFERROR(ROUND(AVERAGEIFS(Datos!$G$2:$G$26103,Datos!$E$2:$E$26103,$A24,Datos!$B$2:$B$26103,12,Datos!$C$2:$C$26103,"&lt;30",Datos!$F$2:$F$26103,"STANDBY"),0),"")</f>
        <v/>
      </c>
      <c r="K24" s="7">
        <f>IFERROR(ROUND(AVERAGEIFS(Datos!$G$2:$G$26103,Datos!$E$2:$E$26103,$A24,Datos!$B$2:$B$26103,12,Datos!$C$2:$C$26103,"&gt;=30",Datos!$F$2:$F$26103,"STANDBY"),0),"")</f>
        <v/>
      </c>
      <c r="L24" s="7">
        <f>IFERROR(ROUND(AVERAGEIFS(Datos!$G$2:$G$26103,Datos!$E$2:$E$26103,$A24,Datos!$B$2:$B$26103,13,Datos!$C$2:$C$26103,"&lt;30",Datos!$F$2:$F$26103,"STANDBY"),0),"")</f>
        <v/>
      </c>
      <c r="M24" s="7">
        <f>IFERROR(ROUND(AVERAGEIFS(Datos!$G$2:$G$26103,Datos!$E$2:$E$26103,$A24,Datos!$B$2:$B$26103,13,Datos!$C$2:$C$26103,"&gt;=30",Datos!$F$2:$F$26103,"STANDBY"),0),"")</f>
        <v/>
      </c>
      <c r="N24" s="7">
        <f>IFERROR(ROUND(AVERAGEIFS(Datos!$G$2:$G$26103,Datos!$E$2:$E$26103,$A24,Datos!$B$2:$B$26103,14,Datos!$C$2:$C$26103,"&lt;30",Datos!$F$2:$F$26103,"STANDBY"),0),"")</f>
        <v/>
      </c>
      <c r="O24" s="7">
        <f>IFERROR(ROUND(AVERAGEIFS(Datos!$G$2:$G$26103,Datos!$E$2:$E$26103,$A24,Datos!$B$2:$B$26103,14,Datos!$C$2:$C$26103,"&gt;=30",Datos!$F$2:$F$26103,"STANDBY"),0),"")</f>
        <v/>
      </c>
      <c r="P24" s="7">
        <f>IFERROR(ROUND(AVERAGEIFS(Datos!$G$2:$G$26103,Datos!$E$2:$E$26103,$A24,Datos!$B$2:$B$26103,15,Datos!$C$2:$C$26103,"&lt;30",Datos!$F$2:$F$26103,"STANDBY"),0),"")</f>
        <v/>
      </c>
      <c r="Q24" s="7">
        <f>IFERROR(ROUND(AVERAGEIFS(Datos!$G$2:$G$26103,Datos!$E$2:$E$26103,$A24,Datos!$B$2:$B$26103,15,Datos!$C$2:$C$26103,"&gt;=30",Datos!$F$2:$F$26103,"STANDBY"),0),"")</f>
        <v/>
      </c>
      <c r="R24" s="7">
        <f>IFERROR(ROUND(AVERAGEIFS(Datos!$G$2:$G$26103,Datos!$E$2:$E$26103,$A24,Datos!$B$2:$B$26103,16,Datos!$C$2:$C$26103,"&lt;30",Datos!$F$2:$F$26103,"STANDBY"),0),"")</f>
        <v/>
      </c>
      <c r="S24" s="7">
        <f>IFERROR(ROUND(AVERAGEIFS(Datos!$G$2:$G$26103,Datos!$E$2:$E$26103,$A24,Datos!$B$2:$B$26103,16,Datos!$C$2:$C$26103,"&gt;=30",Datos!$F$2:$F$26103,"STANDBY"),0),"")</f>
        <v/>
      </c>
      <c r="T24" s="7">
        <f>IFERROR(ROUND(AVERAGEIFS(Datos!$G$2:$G$26103,Datos!$E$2:$E$26103,$A24,Datos!$B$2:$B$26103,17,Datos!$C$2:$C$26103,"&lt;30",Datos!$F$2:$F$26103,"STANDBY"),0),"")</f>
        <v/>
      </c>
      <c r="U24" s="7">
        <f>IFERROR(ROUND(AVERAGEIFS(Datos!$G$2:$G$26103,Datos!$E$2:$E$26103,$A24,Datos!$B$2:$B$26103,17,Datos!$C$2:$C$26103,"&gt;=30",Datos!$F$2:$F$26103,"STANDBY"),0),"")</f>
        <v/>
      </c>
      <c r="V24" s="7">
        <f>IFERROR(ROUND(AVERAGEIFS(Datos!$G$2:$G$26103,Datos!$E$2:$E$26103,$A24,Datos!$B$2:$B$26103,18,Datos!$C$2:$C$26103,"&lt;30",Datos!$F$2:$F$26103,"STANDBY"),0),"")</f>
        <v/>
      </c>
      <c r="W24" s="7">
        <f>IFERROR(ROUND(AVERAGEIFS(Datos!$G$2:$G$26103,Datos!$E$2:$E$26103,$A24,Datos!$B$2:$B$26103,18,Datos!$C$2:$C$26103,"&gt;=30",Datos!$F$2:$F$26103,"STANDBY"),0),"")</f>
        <v/>
      </c>
      <c r="X24" s="7">
        <f>IFERROR(ROUND(AVERAGEIFS(Datos!$G$2:$G$26103,Datos!$E$2:$E$26103,$A24,Datos!$B$2:$B$26103,19,Datos!$C$2:$C$26103,"&lt;30",Datos!$F$2:$F$26103,"STANDBY"),0),"")</f>
        <v/>
      </c>
      <c r="Y24" s="7">
        <f>IFERROR(ROUND(AVERAGEIFS(Datos!$G$2:$G$26103,Datos!$E$2:$E$26103,$A24,Datos!$B$2:$B$26103,19,Datos!$C$2:$C$26103,"&gt;=30",Datos!$F$2:$F$26103,"STANDBY"),0),"")</f>
        <v/>
      </c>
      <c r="Z24" s="7">
        <f>IFERROR(ROUND(AVERAGEIFS(Datos!$G$2:$G$26103,Datos!$E$2:$E$26103,$A24,Datos!$B$2:$B$26103,20,Datos!$C$2:$C$26103,"&lt;30",Datos!$F$2:$F$26103,"STANDBY"),0),"")</f>
        <v/>
      </c>
      <c r="AA24" s="7">
        <f>IFERROR(ROUND(AVERAGEIFS(Datos!$G$2:$G$26103,Datos!$E$2:$E$26103,$A24,Datos!$B$2:$B$26103,20,Datos!$C$2:$C$26103,"&gt;=30",Datos!$F$2:$F$26103,"STANDBY"),0),"")</f>
        <v/>
      </c>
      <c r="AB24" s="7">
        <f>IFERROR(ROUND(AVERAGEIFS(Datos!$G$2:$G$26103,Datos!$E$2:$E$26103,$A24,Datos!$B$2:$B$26103,21,Datos!$C$2:$C$26103,"&lt;30",Datos!$F$2:$F$26103,"STANDBY"),0),"")</f>
        <v/>
      </c>
      <c r="AC24" s="7">
        <f>IFERROR(ROUND(AVERAGEIFS(Datos!$G$2:$G$26103,Datos!$E$2:$E$26103,$A24,Datos!$B$2:$B$26103,21,Datos!$C$2:$C$26103,"&gt;=30",Datos!$F$2:$F$26103,"STANDBY"),0),"")</f>
        <v/>
      </c>
      <c r="AD24" s="7">
        <f>IFERROR(ROUND(AVERAGEIFS(Datos!$G$2:$G$26103,Datos!$E$2:$E$26103,$A24,Datos!$B$2:$B$26103,22,Datos!$C$2:$C$26103,"&lt;30",Datos!$F$2:$F$26103,"STANDBY"),0),"")</f>
        <v/>
      </c>
      <c r="AE24" s="7">
        <f>IFERROR(ROUND(AVERAGEIFS(Datos!$G$2:$G$26103,Datos!$E$2:$E$26103,$A24,Datos!$B$2:$B$26103,22,Datos!$C$2:$C$26103,"&gt;=30",Datos!$F$2:$F$26103,"STANDBY"),0),"")</f>
        <v/>
      </c>
      <c r="AF24" s="7">
        <f>IFERROR(ROUND(AVERAGEIFS(Datos!$G$2:$G$26103,Datos!$E$2:$E$26103,$A24,Datos!$B$2:$B$26103,23,Datos!$C$2:$C$26103,"&lt;30",Datos!$F$2:$F$26103,"STANDBY"),0),"")</f>
        <v/>
      </c>
      <c r="AG24" s="7">
        <f>IFERROR(ROUND(AVERAGEIFS(Datos!$G$2:$G$26103,Datos!$E$2:$E$26103,$A24,Datos!$B$2:$B$26103,23,Datos!$C$2:$C$26103,"&gt;=30",Datos!$F$2:$F$26103,"STANDBY"),0),"")</f>
        <v/>
      </c>
    </row>
    <row r="25">
      <c r="A25" s="6" t="inlineStr">
        <is>
          <t>"it's a small world"</t>
        </is>
      </c>
      <c r="B25" s="7">
        <f>IFERROR(ROUND(AVERAGEIFS(Datos!$G$2:$G$26103,Datos!$E$2:$E$26103,$A25,Datos!$B$2:$B$26103,8,Datos!$C$2:$C$26103,"&lt;30",Datos!$F$2:$F$26103,"STANDBY"),0),"")</f>
        <v/>
      </c>
      <c r="C25" s="7">
        <f>IFERROR(ROUND(AVERAGEIFS(Datos!$G$2:$G$26103,Datos!$E$2:$E$26103,$A25,Datos!$B$2:$B$26103,8,Datos!$C$2:$C$26103,"&gt;=30",Datos!$F$2:$F$26103,"STANDBY"),0),"")</f>
        <v/>
      </c>
      <c r="D25" s="7">
        <f>IFERROR(ROUND(AVERAGEIFS(Datos!$G$2:$G$26103,Datos!$E$2:$E$26103,$A25,Datos!$B$2:$B$26103,9,Datos!$C$2:$C$26103,"&lt;30",Datos!$F$2:$F$26103,"STANDBY"),0),"")</f>
        <v/>
      </c>
      <c r="E25" s="7">
        <f>IFERROR(ROUND(AVERAGEIFS(Datos!$G$2:$G$26103,Datos!$E$2:$E$26103,$A25,Datos!$B$2:$B$26103,9,Datos!$C$2:$C$26103,"&gt;=30",Datos!$F$2:$F$26103,"STANDBY"),0),"")</f>
        <v/>
      </c>
      <c r="F25" s="7">
        <f>IFERROR(ROUND(AVERAGEIFS(Datos!$G$2:$G$26103,Datos!$E$2:$E$26103,$A25,Datos!$B$2:$B$26103,10,Datos!$C$2:$C$26103,"&lt;30",Datos!$F$2:$F$26103,"STANDBY"),0),"")</f>
        <v/>
      </c>
      <c r="G25" s="7">
        <f>IFERROR(ROUND(AVERAGEIFS(Datos!$G$2:$G$26103,Datos!$E$2:$E$26103,$A25,Datos!$B$2:$B$26103,10,Datos!$C$2:$C$26103,"&gt;=30",Datos!$F$2:$F$26103,"STANDBY"),0),"")</f>
        <v/>
      </c>
      <c r="H25" s="7">
        <f>IFERROR(ROUND(AVERAGEIFS(Datos!$G$2:$G$26103,Datos!$E$2:$E$26103,$A25,Datos!$B$2:$B$26103,11,Datos!$C$2:$C$26103,"&lt;30",Datos!$F$2:$F$26103,"STANDBY"),0),"")</f>
        <v/>
      </c>
      <c r="I25" s="7">
        <f>IFERROR(ROUND(AVERAGEIFS(Datos!$G$2:$G$26103,Datos!$E$2:$E$26103,$A25,Datos!$B$2:$B$26103,11,Datos!$C$2:$C$26103,"&gt;=30",Datos!$F$2:$F$26103,"STANDBY"),0),"")</f>
        <v/>
      </c>
      <c r="J25" s="7">
        <f>IFERROR(ROUND(AVERAGEIFS(Datos!$G$2:$G$26103,Datos!$E$2:$E$26103,$A25,Datos!$B$2:$B$26103,12,Datos!$C$2:$C$26103,"&lt;30",Datos!$F$2:$F$26103,"STANDBY"),0),"")</f>
        <v/>
      </c>
      <c r="K25" s="7">
        <f>IFERROR(ROUND(AVERAGEIFS(Datos!$G$2:$G$26103,Datos!$E$2:$E$26103,$A25,Datos!$B$2:$B$26103,12,Datos!$C$2:$C$26103,"&gt;=30",Datos!$F$2:$F$26103,"STANDBY"),0),"")</f>
        <v/>
      </c>
      <c r="L25" s="7">
        <f>IFERROR(ROUND(AVERAGEIFS(Datos!$G$2:$G$26103,Datos!$E$2:$E$26103,$A25,Datos!$B$2:$B$26103,13,Datos!$C$2:$C$26103,"&lt;30",Datos!$F$2:$F$26103,"STANDBY"),0),"")</f>
        <v/>
      </c>
      <c r="M25" s="7">
        <f>IFERROR(ROUND(AVERAGEIFS(Datos!$G$2:$G$26103,Datos!$E$2:$E$26103,$A25,Datos!$B$2:$B$26103,13,Datos!$C$2:$C$26103,"&gt;=30",Datos!$F$2:$F$26103,"STANDBY"),0),"")</f>
        <v/>
      </c>
      <c r="N25" s="7">
        <f>IFERROR(ROUND(AVERAGEIFS(Datos!$G$2:$G$26103,Datos!$E$2:$E$26103,$A25,Datos!$B$2:$B$26103,14,Datos!$C$2:$C$26103,"&lt;30",Datos!$F$2:$F$26103,"STANDBY"),0),"")</f>
        <v/>
      </c>
      <c r="O25" s="7">
        <f>IFERROR(ROUND(AVERAGEIFS(Datos!$G$2:$G$26103,Datos!$E$2:$E$26103,$A25,Datos!$B$2:$B$26103,14,Datos!$C$2:$C$26103,"&gt;=30",Datos!$F$2:$F$26103,"STANDBY"),0),"")</f>
        <v/>
      </c>
      <c r="P25" s="7">
        <f>IFERROR(ROUND(AVERAGEIFS(Datos!$G$2:$G$26103,Datos!$E$2:$E$26103,$A25,Datos!$B$2:$B$26103,15,Datos!$C$2:$C$26103,"&lt;30",Datos!$F$2:$F$26103,"STANDBY"),0),"")</f>
        <v/>
      </c>
      <c r="Q25" s="7">
        <f>IFERROR(ROUND(AVERAGEIFS(Datos!$G$2:$G$26103,Datos!$E$2:$E$26103,$A25,Datos!$B$2:$B$26103,15,Datos!$C$2:$C$26103,"&gt;=30",Datos!$F$2:$F$26103,"STANDBY"),0),"")</f>
        <v/>
      </c>
      <c r="R25" s="7">
        <f>IFERROR(ROUND(AVERAGEIFS(Datos!$G$2:$G$26103,Datos!$E$2:$E$26103,$A25,Datos!$B$2:$B$26103,16,Datos!$C$2:$C$26103,"&lt;30",Datos!$F$2:$F$26103,"STANDBY"),0),"")</f>
        <v/>
      </c>
      <c r="S25" s="7">
        <f>IFERROR(ROUND(AVERAGEIFS(Datos!$G$2:$G$26103,Datos!$E$2:$E$26103,$A25,Datos!$B$2:$B$26103,16,Datos!$C$2:$C$26103,"&gt;=30",Datos!$F$2:$F$26103,"STANDBY"),0),"")</f>
        <v/>
      </c>
      <c r="T25" s="7">
        <f>IFERROR(ROUND(AVERAGEIFS(Datos!$G$2:$G$26103,Datos!$E$2:$E$26103,$A25,Datos!$B$2:$B$26103,17,Datos!$C$2:$C$26103,"&lt;30",Datos!$F$2:$F$26103,"STANDBY"),0),"")</f>
        <v/>
      </c>
      <c r="U25" s="7">
        <f>IFERROR(ROUND(AVERAGEIFS(Datos!$G$2:$G$26103,Datos!$E$2:$E$26103,$A25,Datos!$B$2:$B$26103,17,Datos!$C$2:$C$26103,"&gt;=30",Datos!$F$2:$F$26103,"STANDBY"),0),"")</f>
        <v/>
      </c>
      <c r="V25" s="7">
        <f>IFERROR(ROUND(AVERAGEIFS(Datos!$G$2:$G$26103,Datos!$E$2:$E$26103,$A25,Datos!$B$2:$B$26103,18,Datos!$C$2:$C$26103,"&lt;30",Datos!$F$2:$F$26103,"STANDBY"),0),"")</f>
        <v/>
      </c>
      <c r="W25" s="7">
        <f>IFERROR(ROUND(AVERAGEIFS(Datos!$G$2:$G$26103,Datos!$E$2:$E$26103,$A25,Datos!$B$2:$B$26103,18,Datos!$C$2:$C$26103,"&gt;=30",Datos!$F$2:$F$26103,"STANDBY"),0),"")</f>
        <v/>
      </c>
      <c r="X25" s="7">
        <f>IFERROR(ROUND(AVERAGEIFS(Datos!$G$2:$G$26103,Datos!$E$2:$E$26103,$A25,Datos!$B$2:$B$26103,19,Datos!$C$2:$C$26103,"&lt;30",Datos!$F$2:$F$26103,"STANDBY"),0),"")</f>
        <v/>
      </c>
      <c r="Y25" s="7">
        <f>IFERROR(ROUND(AVERAGEIFS(Datos!$G$2:$G$26103,Datos!$E$2:$E$26103,$A25,Datos!$B$2:$B$26103,19,Datos!$C$2:$C$26103,"&gt;=30",Datos!$F$2:$F$26103,"STANDBY"),0),"")</f>
        <v/>
      </c>
      <c r="Z25" s="7">
        <f>IFERROR(ROUND(AVERAGEIFS(Datos!$G$2:$G$26103,Datos!$E$2:$E$26103,$A25,Datos!$B$2:$B$26103,20,Datos!$C$2:$C$26103,"&lt;30",Datos!$F$2:$F$26103,"STANDBY"),0),"")</f>
        <v/>
      </c>
      <c r="AA25" s="7">
        <f>IFERROR(ROUND(AVERAGEIFS(Datos!$G$2:$G$26103,Datos!$E$2:$E$26103,$A25,Datos!$B$2:$B$26103,20,Datos!$C$2:$C$26103,"&gt;=30",Datos!$F$2:$F$26103,"STANDBY"),0),"")</f>
        <v/>
      </c>
      <c r="AB25" s="7">
        <f>IFERROR(ROUND(AVERAGEIFS(Datos!$G$2:$G$26103,Datos!$E$2:$E$26103,$A25,Datos!$B$2:$B$26103,21,Datos!$C$2:$C$26103,"&lt;30",Datos!$F$2:$F$26103,"STANDBY"),0),"")</f>
        <v/>
      </c>
      <c r="AC25" s="7">
        <f>IFERROR(ROUND(AVERAGEIFS(Datos!$G$2:$G$26103,Datos!$E$2:$E$26103,$A25,Datos!$B$2:$B$26103,21,Datos!$C$2:$C$26103,"&gt;=30",Datos!$F$2:$F$26103,"STANDBY"),0),"")</f>
        <v/>
      </c>
      <c r="AD25" s="7">
        <f>IFERROR(ROUND(AVERAGEIFS(Datos!$G$2:$G$26103,Datos!$E$2:$E$26103,$A25,Datos!$B$2:$B$26103,22,Datos!$C$2:$C$26103,"&lt;30",Datos!$F$2:$F$26103,"STANDBY"),0),"")</f>
        <v/>
      </c>
      <c r="AE25" s="7">
        <f>IFERROR(ROUND(AVERAGEIFS(Datos!$G$2:$G$26103,Datos!$E$2:$E$26103,$A25,Datos!$B$2:$B$26103,22,Datos!$C$2:$C$26103,"&gt;=30",Datos!$F$2:$F$26103,"STANDBY"),0),"")</f>
        <v/>
      </c>
      <c r="AF25" s="7">
        <f>IFERROR(ROUND(AVERAGEIFS(Datos!$G$2:$G$26103,Datos!$E$2:$E$26103,$A25,Datos!$B$2:$B$26103,23,Datos!$C$2:$C$26103,"&lt;30",Datos!$F$2:$F$26103,"STANDBY"),0),"")</f>
        <v/>
      </c>
      <c r="AG25" s="7">
        <f>IFERROR(ROUND(AVERAGEIFS(Datos!$G$2:$G$26103,Datos!$E$2:$E$26103,$A25,Datos!$B$2:$B$26103,23,Datos!$C$2:$C$26103,"&gt;=30",Datos!$F$2:$F$26103,"STANDBY"),0),"")</f>
        <v/>
      </c>
    </row>
    <row r="26">
      <c r="A26" s="6" t="inlineStr">
        <is>
          <t>Adventure Isle</t>
        </is>
      </c>
      <c r="B26" s="7">
        <f>IFERROR(ROUND(AVERAGEIFS(Datos!$G$2:$G$26103,Datos!$E$2:$E$26103,$A26,Datos!$B$2:$B$26103,8,Datos!$C$2:$C$26103,"&lt;30",Datos!$F$2:$F$26103,"STANDBY"),0),"")</f>
        <v/>
      </c>
      <c r="C26" s="7">
        <f>IFERROR(ROUND(AVERAGEIFS(Datos!$G$2:$G$26103,Datos!$E$2:$E$26103,$A26,Datos!$B$2:$B$26103,8,Datos!$C$2:$C$26103,"&gt;=30",Datos!$F$2:$F$26103,"STANDBY"),0),"")</f>
        <v/>
      </c>
      <c r="D26" s="7">
        <f>IFERROR(ROUND(AVERAGEIFS(Datos!$G$2:$G$26103,Datos!$E$2:$E$26103,$A26,Datos!$B$2:$B$26103,9,Datos!$C$2:$C$26103,"&lt;30",Datos!$F$2:$F$26103,"STANDBY"),0),"")</f>
        <v/>
      </c>
      <c r="E26" s="7">
        <f>IFERROR(ROUND(AVERAGEIFS(Datos!$G$2:$G$26103,Datos!$E$2:$E$26103,$A26,Datos!$B$2:$B$26103,9,Datos!$C$2:$C$26103,"&gt;=30",Datos!$F$2:$F$26103,"STANDBY"),0),"")</f>
        <v/>
      </c>
      <c r="F26" s="7">
        <f>IFERROR(ROUND(AVERAGEIFS(Datos!$G$2:$G$26103,Datos!$E$2:$E$26103,$A26,Datos!$B$2:$B$26103,10,Datos!$C$2:$C$26103,"&lt;30",Datos!$F$2:$F$26103,"STANDBY"),0),"")</f>
        <v/>
      </c>
      <c r="G26" s="7">
        <f>IFERROR(ROUND(AVERAGEIFS(Datos!$G$2:$G$26103,Datos!$E$2:$E$26103,$A26,Datos!$B$2:$B$26103,10,Datos!$C$2:$C$26103,"&gt;=30",Datos!$F$2:$F$26103,"STANDBY"),0),"")</f>
        <v/>
      </c>
      <c r="H26" s="7">
        <f>IFERROR(ROUND(AVERAGEIFS(Datos!$G$2:$G$26103,Datos!$E$2:$E$26103,$A26,Datos!$B$2:$B$26103,11,Datos!$C$2:$C$26103,"&lt;30",Datos!$F$2:$F$26103,"STANDBY"),0),"")</f>
        <v/>
      </c>
      <c r="I26" s="7">
        <f>IFERROR(ROUND(AVERAGEIFS(Datos!$G$2:$G$26103,Datos!$E$2:$E$26103,$A26,Datos!$B$2:$B$26103,11,Datos!$C$2:$C$26103,"&gt;=30",Datos!$F$2:$F$26103,"STANDBY"),0),"")</f>
        <v/>
      </c>
      <c r="J26" s="7">
        <f>IFERROR(ROUND(AVERAGEIFS(Datos!$G$2:$G$26103,Datos!$E$2:$E$26103,$A26,Datos!$B$2:$B$26103,12,Datos!$C$2:$C$26103,"&lt;30",Datos!$F$2:$F$26103,"STANDBY"),0),"")</f>
        <v/>
      </c>
      <c r="K26" s="7">
        <f>IFERROR(ROUND(AVERAGEIFS(Datos!$G$2:$G$26103,Datos!$E$2:$E$26103,$A26,Datos!$B$2:$B$26103,12,Datos!$C$2:$C$26103,"&gt;=30",Datos!$F$2:$F$26103,"STANDBY"),0),"")</f>
        <v/>
      </c>
      <c r="L26" s="7">
        <f>IFERROR(ROUND(AVERAGEIFS(Datos!$G$2:$G$26103,Datos!$E$2:$E$26103,$A26,Datos!$B$2:$B$26103,13,Datos!$C$2:$C$26103,"&lt;30",Datos!$F$2:$F$26103,"STANDBY"),0),"")</f>
        <v/>
      </c>
      <c r="M26" s="7">
        <f>IFERROR(ROUND(AVERAGEIFS(Datos!$G$2:$G$26103,Datos!$E$2:$E$26103,$A26,Datos!$B$2:$B$26103,13,Datos!$C$2:$C$26103,"&gt;=30",Datos!$F$2:$F$26103,"STANDBY"),0),"")</f>
        <v/>
      </c>
      <c r="N26" s="7">
        <f>IFERROR(ROUND(AVERAGEIFS(Datos!$G$2:$G$26103,Datos!$E$2:$E$26103,$A26,Datos!$B$2:$B$26103,14,Datos!$C$2:$C$26103,"&lt;30",Datos!$F$2:$F$26103,"STANDBY"),0),"")</f>
        <v/>
      </c>
      <c r="O26" s="7">
        <f>IFERROR(ROUND(AVERAGEIFS(Datos!$G$2:$G$26103,Datos!$E$2:$E$26103,$A26,Datos!$B$2:$B$26103,14,Datos!$C$2:$C$26103,"&gt;=30",Datos!$F$2:$F$26103,"STANDBY"),0),"")</f>
        <v/>
      </c>
      <c r="P26" s="7">
        <f>IFERROR(ROUND(AVERAGEIFS(Datos!$G$2:$G$26103,Datos!$E$2:$E$26103,$A26,Datos!$B$2:$B$26103,15,Datos!$C$2:$C$26103,"&lt;30",Datos!$F$2:$F$26103,"STANDBY"),0),"")</f>
        <v/>
      </c>
      <c r="Q26" s="7">
        <f>IFERROR(ROUND(AVERAGEIFS(Datos!$G$2:$G$26103,Datos!$E$2:$E$26103,$A26,Datos!$B$2:$B$26103,15,Datos!$C$2:$C$26103,"&gt;=30",Datos!$F$2:$F$26103,"STANDBY"),0),"")</f>
        <v/>
      </c>
      <c r="R26" s="7">
        <f>IFERROR(ROUND(AVERAGEIFS(Datos!$G$2:$G$26103,Datos!$E$2:$E$26103,$A26,Datos!$B$2:$B$26103,16,Datos!$C$2:$C$26103,"&lt;30",Datos!$F$2:$F$26103,"STANDBY"),0),"")</f>
        <v/>
      </c>
      <c r="S26" s="7">
        <f>IFERROR(ROUND(AVERAGEIFS(Datos!$G$2:$G$26103,Datos!$E$2:$E$26103,$A26,Datos!$B$2:$B$26103,16,Datos!$C$2:$C$26103,"&gt;=30",Datos!$F$2:$F$26103,"STANDBY"),0),"")</f>
        <v/>
      </c>
      <c r="T26" s="7">
        <f>IFERROR(ROUND(AVERAGEIFS(Datos!$G$2:$G$26103,Datos!$E$2:$E$26103,$A26,Datos!$B$2:$B$26103,17,Datos!$C$2:$C$26103,"&lt;30",Datos!$F$2:$F$26103,"STANDBY"),0),"")</f>
        <v/>
      </c>
      <c r="U26" s="7">
        <f>IFERROR(ROUND(AVERAGEIFS(Datos!$G$2:$G$26103,Datos!$E$2:$E$26103,$A26,Datos!$B$2:$B$26103,17,Datos!$C$2:$C$26103,"&gt;=30",Datos!$F$2:$F$26103,"STANDBY"),0),"")</f>
        <v/>
      </c>
      <c r="V26" s="7">
        <f>IFERROR(ROUND(AVERAGEIFS(Datos!$G$2:$G$26103,Datos!$E$2:$E$26103,$A26,Datos!$B$2:$B$26103,18,Datos!$C$2:$C$26103,"&lt;30",Datos!$F$2:$F$26103,"STANDBY"),0),"")</f>
        <v/>
      </c>
      <c r="W26" s="7">
        <f>IFERROR(ROUND(AVERAGEIFS(Datos!$G$2:$G$26103,Datos!$E$2:$E$26103,$A26,Datos!$B$2:$B$26103,18,Datos!$C$2:$C$26103,"&gt;=30",Datos!$F$2:$F$26103,"STANDBY"),0),"")</f>
        <v/>
      </c>
      <c r="X26" s="7">
        <f>IFERROR(ROUND(AVERAGEIFS(Datos!$G$2:$G$26103,Datos!$E$2:$E$26103,$A26,Datos!$B$2:$B$26103,19,Datos!$C$2:$C$26103,"&lt;30",Datos!$F$2:$F$26103,"STANDBY"),0),"")</f>
        <v/>
      </c>
      <c r="Y26" s="7">
        <f>IFERROR(ROUND(AVERAGEIFS(Datos!$G$2:$G$26103,Datos!$E$2:$E$26103,$A26,Datos!$B$2:$B$26103,19,Datos!$C$2:$C$26103,"&gt;=30",Datos!$F$2:$F$26103,"STANDBY"),0),"")</f>
        <v/>
      </c>
      <c r="Z26" s="7">
        <f>IFERROR(ROUND(AVERAGEIFS(Datos!$G$2:$G$26103,Datos!$E$2:$E$26103,$A26,Datos!$B$2:$B$26103,20,Datos!$C$2:$C$26103,"&lt;30",Datos!$F$2:$F$26103,"STANDBY"),0),"")</f>
        <v/>
      </c>
      <c r="AA26" s="7">
        <f>IFERROR(ROUND(AVERAGEIFS(Datos!$G$2:$G$26103,Datos!$E$2:$E$26103,$A26,Datos!$B$2:$B$26103,20,Datos!$C$2:$C$26103,"&gt;=30",Datos!$F$2:$F$26103,"STANDBY"),0),"")</f>
        <v/>
      </c>
      <c r="AB26" s="7">
        <f>IFERROR(ROUND(AVERAGEIFS(Datos!$G$2:$G$26103,Datos!$E$2:$E$26103,$A26,Datos!$B$2:$B$26103,21,Datos!$C$2:$C$26103,"&lt;30",Datos!$F$2:$F$26103,"STANDBY"),0),"")</f>
        <v/>
      </c>
      <c r="AC26" s="7">
        <f>IFERROR(ROUND(AVERAGEIFS(Datos!$G$2:$G$26103,Datos!$E$2:$E$26103,$A26,Datos!$B$2:$B$26103,21,Datos!$C$2:$C$26103,"&gt;=30",Datos!$F$2:$F$26103,"STANDBY"),0),"")</f>
        <v/>
      </c>
      <c r="AD26" s="7">
        <f>IFERROR(ROUND(AVERAGEIFS(Datos!$G$2:$G$26103,Datos!$E$2:$E$26103,$A26,Datos!$B$2:$B$26103,22,Datos!$C$2:$C$26103,"&lt;30",Datos!$F$2:$F$26103,"STANDBY"),0),"")</f>
        <v/>
      </c>
      <c r="AE26" s="7">
        <f>IFERROR(ROUND(AVERAGEIFS(Datos!$G$2:$G$26103,Datos!$E$2:$E$26103,$A26,Datos!$B$2:$B$26103,22,Datos!$C$2:$C$26103,"&gt;=30",Datos!$F$2:$F$26103,"STANDBY"),0),"")</f>
        <v/>
      </c>
      <c r="AF26" s="7">
        <f>IFERROR(ROUND(AVERAGEIFS(Datos!$G$2:$G$26103,Datos!$E$2:$E$26103,$A26,Datos!$B$2:$B$26103,23,Datos!$C$2:$C$26103,"&lt;30",Datos!$F$2:$F$26103,"STANDBY"),0),"")</f>
        <v/>
      </c>
      <c r="AG26" s="7">
        <f>IFERROR(ROUND(AVERAGEIFS(Datos!$G$2:$G$26103,Datos!$E$2:$E$26103,$A26,Datos!$B$2:$B$26103,23,Datos!$C$2:$C$26103,"&gt;=30",Datos!$F$2:$F$26103,"STANDBY"),0),"")</f>
        <v/>
      </c>
    </row>
    <row r="27">
      <c r="A27" s="6" t="inlineStr">
        <is>
          <t>Alice's Curious Labyrinth</t>
        </is>
      </c>
      <c r="B27" s="7">
        <f>IFERROR(ROUND(AVERAGEIFS(Datos!$G$2:$G$26103,Datos!$E$2:$E$26103,$A27,Datos!$B$2:$B$26103,8,Datos!$C$2:$C$26103,"&lt;30",Datos!$F$2:$F$26103,"STANDBY"),0),"")</f>
        <v/>
      </c>
      <c r="C27" s="7">
        <f>IFERROR(ROUND(AVERAGEIFS(Datos!$G$2:$G$26103,Datos!$E$2:$E$26103,$A27,Datos!$B$2:$B$26103,8,Datos!$C$2:$C$26103,"&gt;=30",Datos!$F$2:$F$26103,"STANDBY"),0),"")</f>
        <v/>
      </c>
      <c r="D27" s="7">
        <f>IFERROR(ROUND(AVERAGEIFS(Datos!$G$2:$G$26103,Datos!$E$2:$E$26103,$A27,Datos!$B$2:$B$26103,9,Datos!$C$2:$C$26103,"&lt;30",Datos!$F$2:$F$26103,"STANDBY"),0),"")</f>
        <v/>
      </c>
      <c r="E27" s="7">
        <f>IFERROR(ROUND(AVERAGEIFS(Datos!$G$2:$G$26103,Datos!$E$2:$E$26103,$A27,Datos!$B$2:$B$26103,9,Datos!$C$2:$C$26103,"&gt;=30",Datos!$F$2:$F$26103,"STANDBY"),0),"")</f>
        <v/>
      </c>
      <c r="F27" s="7">
        <f>IFERROR(ROUND(AVERAGEIFS(Datos!$G$2:$G$26103,Datos!$E$2:$E$26103,$A27,Datos!$B$2:$B$26103,10,Datos!$C$2:$C$26103,"&lt;30",Datos!$F$2:$F$26103,"STANDBY"),0),"")</f>
        <v/>
      </c>
      <c r="G27" s="7">
        <f>IFERROR(ROUND(AVERAGEIFS(Datos!$G$2:$G$26103,Datos!$E$2:$E$26103,$A27,Datos!$B$2:$B$26103,10,Datos!$C$2:$C$26103,"&gt;=30",Datos!$F$2:$F$26103,"STANDBY"),0),"")</f>
        <v/>
      </c>
      <c r="H27" s="7">
        <f>IFERROR(ROUND(AVERAGEIFS(Datos!$G$2:$G$26103,Datos!$E$2:$E$26103,$A27,Datos!$B$2:$B$26103,11,Datos!$C$2:$C$26103,"&lt;30",Datos!$F$2:$F$26103,"STANDBY"),0),"")</f>
        <v/>
      </c>
      <c r="I27" s="7">
        <f>IFERROR(ROUND(AVERAGEIFS(Datos!$G$2:$G$26103,Datos!$E$2:$E$26103,$A27,Datos!$B$2:$B$26103,11,Datos!$C$2:$C$26103,"&gt;=30",Datos!$F$2:$F$26103,"STANDBY"),0),"")</f>
        <v/>
      </c>
      <c r="J27" s="7">
        <f>IFERROR(ROUND(AVERAGEIFS(Datos!$G$2:$G$26103,Datos!$E$2:$E$26103,$A27,Datos!$B$2:$B$26103,12,Datos!$C$2:$C$26103,"&lt;30",Datos!$F$2:$F$26103,"STANDBY"),0),"")</f>
        <v/>
      </c>
      <c r="K27" s="7">
        <f>IFERROR(ROUND(AVERAGEIFS(Datos!$G$2:$G$26103,Datos!$E$2:$E$26103,$A27,Datos!$B$2:$B$26103,12,Datos!$C$2:$C$26103,"&gt;=30",Datos!$F$2:$F$26103,"STANDBY"),0),"")</f>
        <v/>
      </c>
      <c r="L27" s="7">
        <f>IFERROR(ROUND(AVERAGEIFS(Datos!$G$2:$G$26103,Datos!$E$2:$E$26103,$A27,Datos!$B$2:$B$26103,13,Datos!$C$2:$C$26103,"&lt;30",Datos!$F$2:$F$26103,"STANDBY"),0),"")</f>
        <v/>
      </c>
      <c r="M27" s="7">
        <f>IFERROR(ROUND(AVERAGEIFS(Datos!$G$2:$G$26103,Datos!$E$2:$E$26103,$A27,Datos!$B$2:$B$26103,13,Datos!$C$2:$C$26103,"&gt;=30",Datos!$F$2:$F$26103,"STANDBY"),0),"")</f>
        <v/>
      </c>
      <c r="N27" s="7">
        <f>IFERROR(ROUND(AVERAGEIFS(Datos!$G$2:$G$26103,Datos!$E$2:$E$26103,$A27,Datos!$B$2:$B$26103,14,Datos!$C$2:$C$26103,"&lt;30",Datos!$F$2:$F$26103,"STANDBY"),0),"")</f>
        <v/>
      </c>
      <c r="O27" s="7">
        <f>IFERROR(ROUND(AVERAGEIFS(Datos!$G$2:$G$26103,Datos!$E$2:$E$26103,$A27,Datos!$B$2:$B$26103,14,Datos!$C$2:$C$26103,"&gt;=30",Datos!$F$2:$F$26103,"STANDBY"),0),"")</f>
        <v/>
      </c>
      <c r="P27" s="7">
        <f>IFERROR(ROUND(AVERAGEIFS(Datos!$G$2:$G$26103,Datos!$E$2:$E$26103,$A27,Datos!$B$2:$B$26103,15,Datos!$C$2:$C$26103,"&lt;30",Datos!$F$2:$F$26103,"STANDBY"),0),"")</f>
        <v/>
      </c>
      <c r="Q27" s="7">
        <f>IFERROR(ROUND(AVERAGEIFS(Datos!$G$2:$G$26103,Datos!$E$2:$E$26103,$A27,Datos!$B$2:$B$26103,15,Datos!$C$2:$C$26103,"&gt;=30",Datos!$F$2:$F$26103,"STANDBY"),0),"")</f>
        <v/>
      </c>
      <c r="R27" s="7">
        <f>IFERROR(ROUND(AVERAGEIFS(Datos!$G$2:$G$26103,Datos!$E$2:$E$26103,$A27,Datos!$B$2:$B$26103,16,Datos!$C$2:$C$26103,"&lt;30",Datos!$F$2:$F$26103,"STANDBY"),0),"")</f>
        <v/>
      </c>
      <c r="S27" s="7">
        <f>IFERROR(ROUND(AVERAGEIFS(Datos!$G$2:$G$26103,Datos!$E$2:$E$26103,$A27,Datos!$B$2:$B$26103,16,Datos!$C$2:$C$26103,"&gt;=30",Datos!$F$2:$F$26103,"STANDBY"),0),"")</f>
        <v/>
      </c>
      <c r="T27" s="7">
        <f>IFERROR(ROUND(AVERAGEIFS(Datos!$G$2:$G$26103,Datos!$E$2:$E$26103,$A27,Datos!$B$2:$B$26103,17,Datos!$C$2:$C$26103,"&lt;30",Datos!$F$2:$F$26103,"STANDBY"),0),"")</f>
        <v/>
      </c>
      <c r="U27" s="7">
        <f>IFERROR(ROUND(AVERAGEIFS(Datos!$G$2:$G$26103,Datos!$E$2:$E$26103,$A27,Datos!$B$2:$B$26103,17,Datos!$C$2:$C$26103,"&gt;=30",Datos!$F$2:$F$26103,"STANDBY"),0),"")</f>
        <v/>
      </c>
      <c r="V27" s="7">
        <f>IFERROR(ROUND(AVERAGEIFS(Datos!$G$2:$G$26103,Datos!$E$2:$E$26103,$A27,Datos!$B$2:$B$26103,18,Datos!$C$2:$C$26103,"&lt;30",Datos!$F$2:$F$26103,"STANDBY"),0),"")</f>
        <v/>
      </c>
      <c r="W27" s="7">
        <f>IFERROR(ROUND(AVERAGEIFS(Datos!$G$2:$G$26103,Datos!$E$2:$E$26103,$A27,Datos!$B$2:$B$26103,18,Datos!$C$2:$C$26103,"&gt;=30",Datos!$F$2:$F$26103,"STANDBY"),0),"")</f>
        <v/>
      </c>
      <c r="X27" s="7">
        <f>IFERROR(ROUND(AVERAGEIFS(Datos!$G$2:$G$26103,Datos!$E$2:$E$26103,$A27,Datos!$B$2:$B$26103,19,Datos!$C$2:$C$26103,"&lt;30",Datos!$F$2:$F$26103,"STANDBY"),0),"")</f>
        <v/>
      </c>
      <c r="Y27" s="7">
        <f>IFERROR(ROUND(AVERAGEIFS(Datos!$G$2:$G$26103,Datos!$E$2:$E$26103,$A27,Datos!$B$2:$B$26103,19,Datos!$C$2:$C$26103,"&gt;=30",Datos!$F$2:$F$26103,"STANDBY"),0),"")</f>
        <v/>
      </c>
      <c r="Z27" s="7">
        <f>IFERROR(ROUND(AVERAGEIFS(Datos!$G$2:$G$26103,Datos!$E$2:$E$26103,$A27,Datos!$B$2:$B$26103,20,Datos!$C$2:$C$26103,"&lt;30",Datos!$F$2:$F$26103,"STANDBY"),0),"")</f>
        <v/>
      </c>
      <c r="AA27" s="7">
        <f>IFERROR(ROUND(AVERAGEIFS(Datos!$G$2:$G$26103,Datos!$E$2:$E$26103,$A27,Datos!$B$2:$B$26103,20,Datos!$C$2:$C$26103,"&gt;=30",Datos!$F$2:$F$26103,"STANDBY"),0),"")</f>
        <v/>
      </c>
      <c r="AB27" s="7">
        <f>IFERROR(ROUND(AVERAGEIFS(Datos!$G$2:$G$26103,Datos!$E$2:$E$26103,$A27,Datos!$B$2:$B$26103,21,Datos!$C$2:$C$26103,"&lt;30",Datos!$F$2:$F$26103,"STANDBY"),0),"")</f>
        <v/>
      </c>
      <c r="AC27" s="7">
        <f>IFERROR(ROUND(AVERAGEIFS(Datos!$G$2:$G$26103,Datos!$E$2:$E$26103,$A27,Datos!$B$2:$B$26103,21,Datos!$C$2:$C$26103,"&gt;=30",Datos!$F$2:$F$26103,"STANDBY"),0),"")</f>
        <v/>
      </c>
      <c r="AD27" s="7">
        <f>IFERROR(ROUND(AVERAGEIFS(Datos!$G$2:$G$26103,Datos!$E$2:$E$26103,$A27,Datos!$B$2:$B$26103,22,Datos!$C$2:$C$26103,"&lt;30",Datos!$F$2:$F$26103,"STANDBY"),0),"")</f>
        <v/>
      </c>
      <c r="AE27" s="7">
        <f>IFERROR(ROUND(AVERAGEIFS(Datos!$G$2:$G$26103,Datos!$E$2:$E$26103,$A27,Datos!$B$2:$B$26103,22,Datos!$C$2:$C$26103,"&gt;=30",Datos!$F$2:$F$26103,"STANDBY"),0),"")</f>
        <v/>
      </c>
      <c r="AF27" s="7">
        <f>IFERROR(ROUND(AVERAGEIFS(Datos!$G$2:$G$26103,Datos!$E$2:$E$26103,$A27,Datos!$B$2:$B$26103,23,Datos!$C$2:$C$26103,"&lt;30",Datos!$F$2:$F$26103,"STANDBY"),0),"")</f>
        <v/>
      </c>
      <c r="AG27" s="7">
        <f>IFERROR(ROUND(AVERAGEIFS(Datos!$G$2:$G$26103,Datos!$E$2:$E$26103,$A27,Datos!$B$2:$B$26103,23,Datos!$C$2:$C$26103,"&gt;=30",Datos!$F$2:$F$26103,"STANDBY"),0),"")</f>
        <v/>
      </c>
    </row>
    <row r="28">
      <c r="A28" s="6" t="inlineStr">
        <is>
          <t>Autopia, presented by Avis</t>
        </is>
      </c>
      <c r="B28" s="7">
        <f>IFERROR(ROUND(AVERAGEIFS(Datos!$G$2:$G$26103,Datos!$E$2:$E$26103,$A28,Datos!$B$2:$B$26103,8,Datos!$C$2:$C$26103,"&lt;30",Datos!$F$2:$F$26103,"STANDBY"),0),"")</f>
        <v/>
      </c>
      <c r="C28" s="7">
        <f>IFERROR(ROUND(AVERAGEIFS(Datos!$G$2:$G$26103,Datos!$E$2:$E$26103,$A28,Datos!$B$2:$B$26103,8,Datos!$C$2:$C$26103,"&gt;=30",Datos!$F$2:$F$26103,"STANDBY"),0),"")</f>
        <v/>
      </c>
      <c r="D28" s="7">
        <f>IFERROR(ROUND(AVERAGEIFS(Datos!$G$2:$G$26103,Datos!$E$2:$E$26103,$A28,Datos!$B$2:$B$26103,9,Datos!$C$2:$C$26103,"&lt;30",Datos!$F$2:$F$26103,"STANDBY"),0),"")</f>
        <v/>
      </c>
      <c r="E28" s="7">
        <f>IFERROR(ROUND(AVERAGEIFS(Datos!$G$2:$G$26103,Datos!$E$2:$E$26103,$A28,Datos!$B$2:$B$26103,9,Datos!$C$2:$C$26103,"&gt;=30",Datos!$F$2:$F$26103,"STANDBY"),0),"")</f>
        <v/>
      </c>
      <c r="F28" s="7">
        <f>IFERROR(ROUND(AVERAGEIFS(Datos!$G$2:$G$26103,Datos!$E$2:$E$26103,$A28,Datos!$B$2:$B$26103,10,Datos!$C$2:$C$26103,"&lt;30",Datos!$F$2:$F$26103,"STANDBY"),0),"")</f>
        <v/>
      </c>
      <c r="G28" s="7">
        <f>IFERROR(ROUND(AVERAGEIFS(Datos!$G$2:$G$26103,Datos!$E$2:$E$26103,$A28,Datos!$B$2:$B$26103,10,Datos!$C$2:$C$26103,"&gt;=30",Datos!$F$2:$F$26103,"STANDBY"),0),"")</f>
        <v/>
      </c>
      <c r="H28" s="7">
        <f>IFERROR(ROUND(AVERAGEIFS(Datos!$G$2:$G$26103,Datos!$E$2:$E$26103,$A28,Datos!$B$2:$B$26103,11,Datos!$C$2:$C$26103,"&lt;30",Datos!$F$2:$F$26103,"STANDBY"),0),"")</f>
        <v/>
      </c>
      <c r="I28" s="7">
        <f>IFERROR(ROUND(AVERAGEIFS(Datos!$G$2:$G$26103,Datos!$E$2:$E$26103,$A28,Datos!$B$2:$B$26103,11,Datos!$C$2:$C$26103,"&gt;=30",Datos!$F$2:$F$26103,"STANDBY"),0),"")</f>
        <v/>
      </c>
      <c r="J28" s="7">
        <f>IFERROR(ROUND(AVERAGEIFS(Datos!$G$2:$G$26103,Datos!$E$2:$E$26103,$A28,Datos!$B$2:$B$26103,12,Datos!$C$2:$C$26103,"&lt;30",Datos!$F$2:$F$26103,"STANDBY"),0),"")</f>
        <v/>
      </c>
      <c r="K28" s="7">
        <f>IFERROR(ROUND(AVERAGEIFS(Datos!$G$2:$G$26103,Datos!$E$2:$E$26103,$A28,Datos!$B$2:$B$26103,12,Datos!$C$2:$C$26103,"&gt;=30",Datos!$F$2:$F$26103,"STANDBY"),0),"")</f>
        <v/>
      </c>
      <c r="L28" s="7">
        <f>IFERROR(ROUND(AVERAGEIFS(Datos!$G$2:$G$26103,Datos!$E$2:$E$26103,$A28,Datos!$B$2:$B$26103,13,Datos!$C$2:$C$26103,"&lt;30",Datos!$F$2:$F$26103,"STANDBY"),0),"")</f>
        <v/>
      </c>
      <c r="M28" s="7">
        <f>IFERROR(ROUND(AVERAGEIFS(Datos!$G$2:$G$26103,Datos!$E$2:$E$26103,$A28,Datos!$B$2:$B$26103,13,Datos!$C$2:$C$26103,"&gt;=30",Datos!$F$2:$F$26103,"STANDBY"),0),"")</f>
        <v/>
      </c>
      <c r="N28" s="7">
        <f>IFERROR(ROUND(AVERAGEIFS(Datos!$G$2:$G$26103,Datos!$E$2:$E$26103,$A28,Datos!$B$2:$B$26103,14,Datos!$C$2:$C$26103,"&lt;30",Datos!$F$2:$F$26103,"STANDBY"),0),"")</f>
        <v/>
      </c>
      <c r="O28" s="7">
        <f>IFERROR(ROUND(AVERAGEIFS(Datos!$G$2:$G$26103,Datos!$E$2:$E$26103,$A28,Datos!$B$2:$B$26103,14,Datos!$C$2:$C$26103,"&gt;=30",Datos!$F$2:$F$26103,"STANDBY"),0),"")</f>
        <v/>
      </c>
      <c r="P28" s="7">
        <f>IFERROR(ROUND(AVERAGEIFS(Datos!$G$2:$G$26103,Datos!$E$2:$E$26103,$A28,Datos!$B$2:$B$26103,15,Datos!$C$2:$C$26103,"&lt;30",Datos!$F$2:$F$26103,"STANDBY"),0),"")</f>
        <v/>
      </c>
      <c r="Q28" s="7">
        <f>IFERROR(ROUND(AVERAGEIFS(Datos!$G$2:$G$26103,Datos!$E$2:$E$26103,$A28,Datos!$B$2:$B$26103,15,Datos!$C$2:$C$26103,"&gt;=30",Datos!$F$2:$F$26103,"STANDBY"),0),"")</f>
        <v/>
      </c>
      <c r="R28" s="7">
        <f>IFERROR(ROUND(AVERAGEIFS(Datos!$G$2:$G$26103,Datos!$E$2:$E$26103,$A28,Datos!$B$2:$B$26103,16,Datos!$C$2:$C$26103,"&lt;30",Datos!$F$2:$F$26103,"STANDBY"),0),"")</f>
        <v/>
      </c>
      <c r="S28" s="7">
        <f>IFERROR(ROUND(AVERAGEIFS(Datos!$G$2:$G$26103,Datos!$E$2:$E$26103,$A28,Datos!$B$2:$B$26103,16,Datos!$C$2:$C$26103,"&gt;=30",Datos!$F$2:$F$26103,"STANDBY"),0),"")</f>
        <v/>
      </c>
      <c r="T28" s="7">
        <f>IFERROR(ROUND(AVERAGEIFS(Datos!$G$2:$G$26103,Datos!$E$2:$E$26103,$A28,Datos!$B$2:$B$26103,17,Datos!$C$2:$C$26103,"&lt;30",Datos!$F$2:$F$26103,"STANDBY"),0),"")</f>
        <v/>
      </c>
      <c r="U28" s="7">
        <f>IFERROR(ROUND(AVERAGEIFS(Datos!$G$2:$G$26103,Datos!$E$2:$E$26103,$A28,Datos!$B$2:$B$26103,17,Datos!$C$2:$C$26103,"&gt;=30",Datos!$F$2:$F$26103,"STANDBY"),0),"")</f>
        <v/>
      </c>
      <c r="V28" s="7">
        <f>IFERROR(ROUND(AVERAGEIFS(Datos!$G$2:$G$26103,Datos!$E$2:$E$26103,$A28,Datos!$B$2:$B$26103,18,Datos!$C$2:$C$26103,"&lt;30",Datos!$F$2:$F$26103,"STANDBY"),0),"")</f>
        <v/>
      </c>
      <c r="W28" s="7">
        <f>IFERROR(ROUND(AVERAGEIFS(Datos!$G$2:$G$26103,Datos!$E$2:$E$26103,$A28,Datos!$B$2:$B$26103,18,Datos!$C$2:$C$26103,"&gt;=30",Datos!$F$2:$F$26103,"STANDBY"),0),"")</f>
        <v/>
      </c>
      <c r="X28" s="7">
        <f>IFERROR(ROUND(AVERAGEIFS(Datos!$G$2:$G$26103,Datos!$E$2:$E$26103,$A28,Datos!$B$2:$B$26103,19,Datos!$C$2:$C$26103,"&lt;30",Datos!$F$2:$F$26103,"STANDBY"),0),"")</f>
        <v/>
      </c>
      <c r="Y28" s="7">
        <f>IFERROR(ROUND(AVERAGEIFS(Datos!$G$2:$G$26103,Datos!$E$2:$E$26103,$A28,Datos!$B$2:$B$26103,19,Datos!$C$2:$C$26103,"&gt;=30",Datos!$F$2:$F$26103,"STANDBY"),0),"")</f>
        <v/>
      </c>
      <c r="Z28" s="7">
        <f>IFERROR(ROUND(AVERAGEIFS(Datos!$G$2:$G$26103,Datos!$E$2:$E$26103,$A28,Datos!$B$2:$B$26103,20,Datos!$C$2:$C$26103,"&lt;30",Datos!$F$2:$F$26103,"STANDBY"),0),"")</f>
        <v/>
      </c>
      <c r="AA28" s="7">
        <f>IFERROR(ROUND(AVERAGEIFS(Datos!$G$2:$G$26103,Datos!$E$2:$E$26103,$A28,Datos!$B$2:$B$26103,20,Datos!$C$2:$C$26103,"&gt;=30",Datos!$F$2:$F$26103,"STANDBY"),0),"")</f>
        <v/>
      </c>
      <c r="AB28" s="7">
        <f>IFERROR(ROUND(AVERAGEIFS(Datos!$G$2:$G$26103,Datos!$E$2:$E$26103,$A28,Datos!$B$2:$B$26103,21,Datos!$C$2:$C$26103,"&lt;30",Datos!$F$2:$F$26103,"STANDBY"),0),"")</f>
        <v/>
      </c>
      <c r="AC28" s="7">
        <f>IFERROR(ROUND(AVERAGEIFS(Datos!$G$2:$G$26103,Datos!$E$2:$E$26103,$A28,Datos!$B$2:$B$26103,21,Datos!$C$2:$C$26103,"&gt;=30",Datos!$F$2:$F$26103,"STANDBY"),0),"")</f>
        <v/>
      </c>
      <c r="AD28" s="7">
        <f>IFERROR(ROUND(AVERAGEIFS(Datos!$G$2:$G$26103,Datos!$E$2:$E$26103,$A28,Datos!$B$2:$B$26103,22,Datos!$C$2:$C$26103,"&lt;30",Datos!$F$2:$F$26103,"STANDBY"),0),"")</f>
        <v/>
      </c>
      <c r="AE28" s="7">
        <f>IFERROR(ROUND(AVERAGEIFS(Datos!$G$2:$G$26103,Datos!$E$2:$E$26103,$A28,Datos!$B$2:$B$26103,22,Datos!$C$2:$C$26103,"&gt;=30",Datos!$F$2:$F$26103,"STANDBY"),0),"")</f>
        <v/>
      </c>
      <c r="AF28" s="7">
        <f>IFERROR(ROUND(AVERAGEIFS(Datos!$G$2:$G$26103,Datos!$E$2:$E$26103,$A28,Datos!$B$2:$B$26103,23,Datos!$C$2:$C$26103,"&lt;30",Datos!$F$2:$F$26103,"STANDBY"),0),"")</f>
        <v/>
      </c>
      <c r="AG28" s="7">
        <f>IFERROR(ROUND(AVERAGEIFS(Datos!$G$2:$G$26103,Datos!$E$2:$E$26103,$A28,Datos!$B$2:$B$26103,23,Datos!$C$2:$C$26103,"&gt;=30",Datos!$F$2:$F$26103,"STANDBY"),0),"")</f>
        <v/>
      </c>
    </row>
    <row r="29">
      <c r="A29" s="6" t="inlineStr">
        <is>
          <t>Big Thunder Mountain</t>
        </is>
      </c>
      <c r="B29" s="7">
        <f>IFERROR(ROUND(AVERAGEIFS(Datos!$G$2:$G$26103,Datos!$E$2:$E$26103,$A29,Datos!$B$2:$B$26103,8,Datos!$C$2:$C$26103,"&lt;30",Datos!$F$2:$F$26103,"STANDBY"),0),"")</f>
        <v/>
      </c>
      <c r="C29" s="7">
        <f>IFERROR(ROUND(AVERAGEIFS(Datos!$G$2:$G$26103,Datos!$E$2:$E$26103,$A29,Datos!$B$2:$B$26103,8,Datos!$C$2:$C$26103,"&gt;=30",Datos!$F$2:$F$26103,"STANDBY"),0),"")</f>
        <v/>
      </c>
      <c r="D29" s="7">
        <f>IFERROR(ROUND(AVERAGEIFS(Datos!$G$2:$G$26103,Datos!$E$2:$E$26103,$A29,Datos!$B$2:$B$26103,9,Datos!$C$2:$C$26103,"&lt;30",Datos!$F$2:$F$26103,"STANDBY"),0),"")</f>
        <v/>
      </c>
      <c r="E29" s="7">
        <f>IFERROR(ROUND(AVERAGEIFS(Datos!$G$2:$G$26103,Datos!$E$2:$E$26103,$A29,Datos!$B$2:$B$26103,9,Datos!$C$2:$C$26103,"&gt;=30",Datos!$F$2:$F$26103,"STANDBY"),0),"")</f>
        <v/>
      </c>
      <c r="F29" s="7">
        <f>IFERROR(ROUND(AVERAGEIFS(Datos!$G$2:$G$26103,Datos!$E$2:$E$26103,$A29,Datos!$B$2:$B$26103,10,Datos!$C$2:$C$26103,"&lt;30",Datos!$F$2:$F$26103,"STANDBY"),0),"")</f>
        <v/>
      </c>
      <c r="G29" s="7">
        <f>IFERROR(ROUND(AVERAGEIFS(Datos!$G$2:$G$26103,Datos!$E$2:$E$26103,$A29,Datos!$B$2:$B$26103,10,Datos!$C$2:$C$26103,"&gt;=30",Datos!$F$2:$F$26103,"STANDBY"),0),"")</f>
        <v/>
      </c>
      <c r="H29" s="7">
        <f>IFERROR(ROUND(AVERAGEIFS(Datos!$G$2:$G$26103,Datos!$E$2:$E$26103,$A29,Datos!$B$2:$B$26103,11,Datos!$C$2:$C$26103,"&lt;30",Datos!$F$2:$F$26103,"STANDBY"),0),"")</f>
        <v/>
      </c>
      <c r="I29" s="7">
        <f>IFERROR(ROUND(AVERAGEIFS(Datos!$G$2:$G$26103,Datos!$E$2:$E$26103,$A29,Datos!$B$2:$B$26103,11,Datos!$C$2:$C$26103,"&gt;=30",Datos!$F$2:$F$26103,"STANDBY"),0),"")</f>
        <v/>
      </c>
      <c r="J29" s="7">
        <f>IFERROR(ROUND(AVERAGEIFS(Datos!$G$2:$G$26103,Datos!$E$2:$E$26103,$A29,Datos!$B$2:$B$26103,12,Datos!$C$2:$C$26103,"&lt;30",Datos!$F$2:$F$26103,"STANDBY"),0),"")</f>
        <v/>
      </c>
      <c r="K29" s="7">
        <f>IFERROR(ROUND(AVERAGEIFS(Datos!$G$2:$G$26103,Datos!$E$2:$E$26103,$A29,Datos!$B$2:$B$26103,12,Datos!$C$2:$C$26103,"&gt;=30",Datos!$F$2:$F$26103,"STANDBY"),0),"")</f>
        <v/>
      </c>
      <c r="L29" s="7">
        <f>IFERROR(ROUND(AVERAGEIFS(Datos!$G$2:$G$26103,Datos!$E$2:$E$26103,$A29,Datos!$B$2:$B$26103,13,Datos!$C$2:$C$26103,"&lt;30",Datos!$F$2:$F$26103,"STANDBY"),0),"")</f>
        <v/>
      </c>
      <c r="M29" s="7">
        <f>IFERROR(ROUND(AVERAGEIFS(Datos!$G$2:$G$26103,Datos!$E$2:$E$26103,$A29,Datos!$B$2:$B$26103,13,Datos!$C$2:$C$26103,"&gt;=30",Datos!$F$2:$F$26103,"STANDBY"),0),"")</f>
        <v/>
      </c>
      <c r="N29" s="7">
        <f>IFERROR(ROUND(AVERAGEIFS(Datos!$G$2:$G$26103,Datos!$E$2:$E$26103,$A29,Datos!$B$2:$B$26103,14,Datos!$C$2:$C$26103,"&lt;30",Datos!$F$2:$F$26103,"STANDBY"),0),"")</f>
        <v/>
      </c>
      <c r="O29" s="7">
        <f>IFERROR(ROUND(AVERAGEIFS(Datos!$G$2:$G$26103,Datos!$E$2:$E$26103,$A29,Datos!$B$2:$B$26103,14,Datos!$C$2:$C$26103,"&gt;=30",Datos!$F$2:$F$26103,"STANDBY"),0),"")</f>
        <v/>
      </c>
      <c r="P29" s="7">
        <f>IFERROR(ROUND(AVERAGEIFS(Datos!$G$2:$G$26103,Datos!$E$2:$E$26103,$A29,Datos!$B$2:$B$26103,15,Datos!$C$2:$C$26103,"&lt;30",Datos!$F$2:$F$26103,"STANDBY"),0),"")</f>
        <v/>
      </c>
      <c r="Q29" s="7">
        <f>IFERROR(ROUND(AVERAGEIFS(Datos!$G$2:$G$26103,Datos!$E$2:$E$26103,$A29,Datos!$B$2:$B$26103,15,Datos!$C$2:$C$26103,"&gt;=30",Datos!$F$2:$F$26103,"STANDBY"),0),"")</f>
        <v/>
      </c>
      <c r="R29" s="7">
        <f>IFERROR(ROUND(AVERAGEIFS(Datos!$G$2:$G$26103,Datos!$E$2:$E$26103,$A29,Datos!$B$2:$B$26103,16,Datos!$C$2:$C$26103,"&lt;30",Datos!$F$2:$F$26103,"STANDBY"),0),"")</f>
        <v/>
      </c>
      <c r="S29" s="7">
        <f>IFERROR(ROUND(AVERAGEIFS(Datos!$G$2:$G$26103,Datos!$E$2:$E$26103,$A29,Datos!$B$2:$B$26103,16,Datos!$C$2:$C$26103,"&gt;=30",Datos!$F$2:$F$26103,"STANDBY"),0),"")</f>
        <v/>
      </c>
      <c r="T29" s="7">
        <f>IFERROR(ROUND(AVERAGEIFS(Datos!$G$2:$G$26103,Datos!$E$2:$E$26103,$A29,Datos!$B$2:$B$26103,17,Datos!$C$2:$C$26103,"&lt;30",Datos!$F$2:$F$26103,"STANDBY"),0),"")</f>
        <v/>
      </c>
      <c r="U29" s="7">
        <f>IFERROR(ROUND(AVERAGEIFS(Datos!$G$2:$G$26103,Datos!$E$2:$E$26103,$A29,Datos!$B$2:$B$26103,17,Datos!$C$2:$C$26103,"&gt;=30",Datos!$F$2:$F$26103,"STANDBY"),0),"")</f>
        <v/>
      </c>
      <c r="V29" s="7">
        <f>IFERROR(ROUND(AVERAGEIFS(Datos!$G$2:$G$26103,Datos!$E$2:$E$26103,$A29,Datos!$B$2:$B$26103,18,Datos!$C$2:$C$26103,"&lt;30",Datos!$F$2:$F$26103,"STANDBY"),0),"")</f>
        <v/>
      </c>
      <c r="W29" s="7">
        <f>IFERROR(ROUND(AVERAGEIFS(Datos!$G$2:$G$26103,Datos!$E$2:$E$26103,$A29,Datos!$B$2:$B$26103,18,Datos!$C$2:$C$26103,"&gt;=30",Datos!$F$2:$F$26103,"STANDBY"),0),"")</f>
        <v/>
      </c>
      <c r="X29" s="7">
        <f>IFERROR(ROUND(AVERAGEIFS(Datos!$G$2:$G$26103,Datos!$E$2:$E$26103,$A29,Datos!$B$2:$B$26103,19,Datos!$C$2:$C$26103,"&lt;30",Datos!$F$2:$F$26103,"STANDBY"),0),"")</f>
        <v/>
      </c>
      <c r="Y29" s="7">
        <f>IFERROR(ROUND(AVERAGEIFS(Datos!$G$2:$G$26103,Datos!$E$2:$E$26103,$A29,Datos!$B$2:$B$26103,19,Datos!$C$2:$C$26103,"&gt;=30",Datos!$F$2:$F$26103,"STANDBY"),0),"")</f>
        <v/>
      </c>
      <c r="Z29" s="7">
        <f>IFERROR(ROUND(AVERAGEIFS(Datos!$G$2:$G$26103,Datos!$E$2:$E$26103,$A29,Datos!$B$2:$B$26103,20,Datos!$C$2:$C$26103,"&lt;30",Datos!$F$2:$F$26103,"STANDBY"),0),"")</f>
        <v/>
      </c>
      <c r="AA29" s="7">
        <f>IFERROR(ROUND(AVERAGEIFS(Datos!$G$2:$G$26103,Datos!$E$2:$E$26103,$A29,Datos!$B$2:$B$26103,20,Datos!$C$2:$C$26103,"&gt;=30",Datos!$F$2:$F$26103,"STANDBY"),0),"")</f>
        <v/>
      </c>
      <c r="AB29" s="7">
        <f>IFERROR(ROUND(AVERAGEIFS(Datos!$G$2:$G$26103,Datos!$E$2:$E$26103,$A29,Datos!$B$2:$B$26103,21,Datos!$C$2:$C$26103,"&lt;30",Datos!$F$2:$F$26103,"STANDBY"),0),"")</f>
        <v/>
      </c>
      <c r="AC29" s="7">
        <f>IFERROR(ROUND(AVERAGEIFS(Datos!$G$2:$G$26103,Datos!$E$2:$E$26103,$A29,Datos!$B$2:$B$26103,21,Datos!$C$2:$C$26103,"&gt;=30",Datos!$F$2:$F$26103,"STANDBY"),0),"")</f>
        <v/>
      </c>
      <c r="AD29" s="7">
        <f>IFERROR(ROUND(AVERAGEIFS(Datos!$G$2:$G$26103,Datos!$E$2:$E$26103,$A29,Datos!$B$2:$B$26103,22,Datos!$C$2:$C$26103,"&lt;30",Datos!$F$2:$F$26103,"STANDBY"),0),"")</f>
        <v/>
      </c>
      <c r="AE29" s="7">
        <f>IFERROR(ROUND(AVERAGEIFS(Datos!$G$2:$G$26103,Datos!$E$2:$E$26103,$A29,Datos!$B$2:$B$26103,22,Datos!$C$2:$C$26103,"&gt;=30",Datos!$F$2:$F$26103,"STANDBY"),0),"")</f>
        <v/>
      </c>
      <c r="AF29" s="7">
        <f>IFERROR(ROUND(AVERAGEIFS(Datos!$G$2:$G$26103,Datos!$E$2:$E$26103,$A29,Datos!$B$2:$B$26103,23,Datos!$C$2:$C$26103,"&lt;30",Datos!$F$2:$F$26103,"STANDBY"),0),"")</f>
        <v/>
      </c>
      <c r="AG29" s="7">
        <f>IFERROR(ROUND(AVERAGEIFS(Datos!$G$2:$G$26103,Datos!$E$2:$E$26103,$A29,Datos!$B$2:$B$26103,23,Datos!$C$2:$C$26103,"&gt;=30",Datos!$F$2:$F$26103,"STANDBY"),0),"")</f>
        <v/>
      </c>
    </row>
    <row r="30">
      <c r="A30" s="6" t="inlineStr">
        <is>
          <t>Blanche-Neige et les Sept Nains®</t>
        </is>
      </c>
      <c r="B30" s="7">
        <f>IFERROR(ROUND(AVERAGEIFS(Datos!$G$2:$G$26103,Datos!$E$2:$E$26103,$A30,Datos!$B$2:$B$26103,8,Datos!$C$2:$C$26103,"&lt;30",Datos!$F$2:$F$26103,"STANDBY"),0),"")</f>
        <v/>
      </c>
      <c r="C30" s="7">
        <f>IFERROR(ROUND(AVERAGEIFS(Datos!$G$2:$G$26103,Datos!$E$2:$E$26103,$A30,Datos!$B$2:$B$26103,8,Datos!$C$2:$C$26103,"&gt;=30",Datos!$F$2:$F$26103,"STANDBY"),0),"")</f>
        <v/>
      </c>
      <c r="D30" s="7">
        <f>IFERROR(ROUND(AVERAGEIFS(Datos!$G$2:$G$26103,Datos!$E$2:$E$26103,$A30,Datos!$B$2:$B$26103,9,Datos!$C$2:$C$26103,"&lt;30",Datos!$F$2:$F$26103,"STANDBY"),0),"")</f>
        <v/>
      </c>
      <c r="E30" s="7">
        <f>IFERROR(ROUND(AVERAGEIFS(Datos!$G$2:$G$26103,Datos!$E$2:$E$26103,$A30,Datos!$B$2:$B$26103,9,Datos!$C$2:$C$26103,"&gt;=30",Datos!$F$2:$F$26103,"STANDBY"),0),"")</f>
        <v/>
      </c>
      <c r="F30" s="7">
        <f>IFERROR(ROUND(AVERAGEIFS(Datos!$G$2:$G$26103,Datos!$E$2:$E$26103,$A30,Datos!$B$2:$B$26103,10,Datos!$C$2:$C$26103,"&lt;30",Datos!$F$2:$F$26103,"STANDBY"),0),"")</f>
        <v/>
      </c>
      <c r="G30" s="7">
        <f>IFERROR(ROUND(AVERAGEIFS(Datos!$G$2:$G$26103,Datos!$E$2:$E$26103,$A30,Datos!$B$2:$B$26103,10,Datos!$C$2:$C$26103,"&gt;=30",Datos!$F$2:$F$26103,"STANDBY"),0),"")</f>
        <v/>
      </c>
      <c r="H30" s="7">
        <f>IFERROR(ROUND(AVERAGEIFS(Datos!$G$2:$G$26103,Datos!$E$2:$E$26103,$A30,Datos!$B$2:$B$26103,11,Datos!$C$2:$C$26103,"&lt;30",Datos!$F$2:$F$26103,"STANDBY"),0),"")</f>
        <v/>
      </c>
      <c r="I30" s="7">
        <f>IFERROR(ROUND(AVERAGEIFS(Datos!$G$2:$G$26103,Datos!$E$2:$E$26103,$A30,Datos!$B$2:$B$26103,11,Datos!$C$2:$C$26103,"&gt;=30",Datos!$F$2:$F$26103,"STANDBY"),0),"")</f>
        <v/>
      </c>
      <c r="J30" s="7">
        <f>IFERROR(ROUND(AVERAGEIFS(Datos!$G$2:$G$26103,Datos!$E$2:$E$26103,$A30,Datos!$B$2:$B$26103,12,Datos!$C$2:$C$26103,"&lt;30",Datos!$F$2:$F$26103,"STANDBY"),0),"")</f>
        <v/>
      </c>
      <c r="K30" s="7">
        <f>IFERROR(ROUND(AVERAGEIFS(Datos!$G$2:$G$26103,Datos!$E$2:$E$26103,$A30,Datos!$B$2:$B$26103,12,Datos!$C$2:$C$26103,"&gt;=30",Datos!$F$2:$F$26103,"STANDBY"),0),"")</f>
        <v/>
      </c>
      <c r="L30" s="7">
        <f>IFERROR(ROUND(AVERAGEIFS(Datos!$G$2:$G$26103,Datos!$E$2:$E$26103,$A30,Datos!$B$2:$B$26103,13,Datos!$C$2:$C$26103,"&lt;30",Datos!$F$2:$F$26103,"STANDBY"),0),"")</f>
        <v/>
      </c>
      <c r="M30" s="7">
        <f>IFERROR(ROUND(AVERAGEIFS(Datos!$G$2:$G$26103,Datos!$E$2:$E$26103,$A30,Datos!$B$2:$B$26103,13,Datos!$C$2:$C$26103,"&gt;=30",Datos!$F$2:$F$26103,"STANDBY"),0),"")</f>
        <v/>
      </c>
      <c r="N30" s="7">
        <f>IFERROR(ROUND(AVERAGEIFS(Datos!$G$2:$G$26103,Datos!$E$2:$E$26103,$A30,Datos!$B$2:$B$26103,14,Datos!$C$2:$C$26103,"&lt;30",Datos!$F$2:$F$26103,"STANDBY"),0),"")</f>
        <v/>
      </c>
      <c r="O30" s="7">
        <f>IFERROR(ROUND(AVERAGEIFS(Datos!$G$2:$G$26103,Datos!$E$2:$E$26103,$A30,Datos!$B$2:$B$26103,14,Datos!$C$2:$C$26103,"&gt;=30",Datos!$F$2:$F$26103,"STANDBY"),0),"")</f>
        <v/>
      </c>
      <c r="P30" s="7">
        <f>IFERROR(ROUND(AVERAGEIFS(Datos!$G$2:$G$26103,Datos!$E$2:$E$26103,$A30,Datos!$B$2:$B$26103,15,Datos!$C$2:$C$26103,"&lt;30",Datos!$F$2:$F$26103,"STANDBY"),0),"")</f>
        <v/>
      </c>
      <c r="Q30" s="7">
        <f>IFERROR(ROUND(AVERAGEIFS(Datos!$G$2:$G$26103,Datos!$E$2:$E$26103,$A30,Datos!$B$2:$B$26103,15,Datos!$C$2:$C$26103,"&gt;=30",Datos!$F$2:$F$26103,"STANDBY"),0),"")</f>
        <v/>
      </c>
      <c r="R30" s="7">
        <f>IFERROR(ROUND(AVERAGEIFS(Datos!$G$2:$G$26103,Datos!$E$2:$E$26103,$A30,Datos!$B$2:$B$26103,16,Datos!$C$2:$C$26103,"&lt;30",Datos!$F$2:$F$26103,"STANDBY"),0),"")</f>
        <v/>
      </c>
      <c r="S30" s="7">
        <f>IFERROR(ROUND(AVERAGEIFS(Datos!$G$2:$G$26103,Datos!$E$2:$E$26103,$A30,Datos!$B$2:$B$26103,16,Datos!$C$2:$C$26103,"&gt;=30",Datos!$F$2:$F$26103,"STANDBY"),0),"")</f>
        <v/>
      </c>
      <c r="T30" s="7">
        <f>IFERROR(ROUND(AVERAGEIFS(Datos!$G$2:$G$26103,Datos!$E$2:$E$26103,$A30,Datos!$B$2:$B$26103,17,Datos!$C$2:$C$26103,"&lt;30",Datos!$F$2:$F$26103,"STANDBY"),0),"")</f>
        <v/>
      </c>
      <c r="U30" s="7">
        <f>IFERROR(ROUND(AVERAGEIFS(Datos!$G$2:$G$26103,Datos!$E$2:$E$26103,$A30,Datos!$B$2:$B$26103,17,Datos!$C$2:$C$26103,"&gt;=30",Datos!$F$2:$F$26103,"STANDBY"),0),"")</f>
        <v/>
      </c>
      <c r="V30" s="7">
        <f>IFERROR(ROUND(AVERAGEIFS(Datos!$G$2:$G$26103,Datos!$E$2:$E$26103,$A30,Datos!$B$2:$B$26103,18,Datos!$C$2:$C$26103,"&lt;30",Datos!$F$2:$F$26103,"STANDBY"),0),"")</f>
        <v/>
      </c>
      <c r="W30" s="7">
        <f>IFERROR(ROUND(AVERAGEIFS(Datos!$G$2:$G$26103,Datos!$E$2:$E$26103,$A30,Datos!$B$2:$B$26103,18,Datos!$C$2:$C$26103,"&gt;=30",Datos!$F$2:$F$26103,"STANDBY"),0),"")</f>
        <v/>
      </c>
      <c r="X30" s="7">
        <f>IFERROR(ROUND(AVERAGEIFS(Datos!$G$2:$G$26103,Datos!$E$2:$E$26103,$A30,Datos!$B$2:$B$26103,19,Datos!$C$2:$C$26103,"&lt;30",Datos!$F$2:$F$26103,"STANDBY"),0),"")</f>
        <v/>
      </c>
      <c r="Y30" s="7">
        <f>IFERROR(ROUND(AVERAGEIFS(Datos!$G$2:$G$26103,Datos!$E$2:$E$26103,$A30,Datos!$B$2:$B$26103,19,Datos!$C$2:$C$26103,"&gt;=30",Datos!$F$2:$F$26103,"STANDBY"),0),"")</f>
        <v/>
      </c>
      <c r="Z30" s="7">
        <f>IFERROR(ROUND(AVERAGEIFS(Datos!$G$2:$G$26103,Datos!$E$2:$E$26103,$A30,Datos!$B$2:$B$26103,20,Datos!$C$2:$C$26103,"&lt;30",Datos!$F$2:$F$26103,"STANDBY"),0),"")</f>
        <v/>
      </c>
      <c r="AA30" s="7">
        <f>IFERROR(ROUND(AVERAGEIFS(Datos!$G$2:$G$26103,Datos!$E$2:$E$26103,$A30,Datos!$B$2:$B$26103,20,Datos!$C$2:$C$26103,"&gt;=30",Datos!$F$2:$F$26103,"STANDBY"),0),"")</f>
        <v/>
      </c>
      <c r="AB30" s="7">
        <f>IFERROR(ROUND(AVERAGEIFS(Datos!$G$2:$G$26103,Datos!$E$2:$E$26103,$A30,Datos!$B$2:$B$26103,21,Datos!$C$2:$C$26103,"&lt;30",Datos!$F$2:$F$26103,"STANDBY"),0),"")</f>
        <v/>
      </c>
      <c r="AC30" s="7">
        <f>IFERROR(ROUND(AVERAGEIFS(Datos!$G$2:$G$26103,Datos!$E$2:$E$26103,$A30,Datos!$B$2:$B$26103,21,Datos!$C$2:$C$26103,"&gt;=30",Datos!$F$2:$F$26103,"STANDBY"),0),"")</f>
        <v/>
      </c>
      <c r="AD30" s="7">
        <f>IFERROR(ROUND(AVERAGEIFS(Datos!$G$2:$G$26103,Datos!$E$2:$E$26103,$A30,Datos!$B$2:$B$26103,22,Datos!$C$2:$C$26103,"&lt;30",Datos!$F$2:$F$26103,"STANDBY"),0),"")</f>
        <v/>
      </c>
      <c r="AE30" s="7">
        <f>IFERROR(ROUND(AVERAGEIFS(Datos!$G$2:$G$26103,Datos!$E$2:$E$26103,$A30,Datos!$B$2:$B$26103,22,Datos!$C$2:$C$26103,"&gt;=30",Datos!$F$2:$F$26103,"STANDBY"),0),"")</f>
        <v/>
      </c>
      <c r="AF30" s="7">
        <f>IFERROR(ROUND(AVERAGEIFS(Datos!$G$2:$G$26103,Datos!$E$2:$E$26103,$A30,Datos!$B$2:$B$26103,23,Datos!$C$2:$C$26103,"&lt;30",Datos!$F$2:$F$26103,"STANDBY"),0),"")</f>
        <v/>
      </c>
      <c r="AG30" s="7">
        <f>IFERROR(ROUND(AVERAGEIFS(Datos!$G$2:$G$26103,Datos!$E$2:$E$26103,$A30,Datos!$B$2:$B$26103,23,Datos!$C$2:$C$26103,"&gt;=30",Datos!$F$2:$F$26103,"STANDBY"),0),"")</f>
        <v/>
      </c>
    </row>
    <row r="31">
      <c r="A31" s="6" t="inlineStr">
        <is>
          <t>Buzz Lightyear Laser Blast</t>
        </is>
      </c>
      <c r="B31" s="7">
        <f>IFERROR(ROUND(AVERAGEIFS(Datos!$G$2:$G$26103,Datos!$E$2:$E$26103,$A31,Datos!$B$2:$B$26103,8,Datos!$C$2:$C$26103,"&lt;30",Datos!$F$2:$F$26103,"STANDBY"),0),"")</f>
        <v/>
      </c>
      <c r="C31" s="7">
        <f>IFERROR(ROUND(AVERAGEIFS(Datos!$G$2:$G$26103,Datos!$E$2:$E$26103,$A31,Datos!$B$2:$B$26103,8,Datos!$C$2:$C$26103,"&gt;=30",Datos!$F$2:$F$26103,"STANDBY"),0),"")</f>
        <v/>
      </c>
      <c r="D31" s="7">
        <f>IFERROR(ROUND(AVERAGEIFS(Datos!$G$2:$G$26103,Datos!$E$2:$E$26103,$A31,Datos!$B$2:$B$26103,9,Datos!$C$2:$C$26103,"&lt;30",Datos!$F$2:$F$26103,"STANDBY"),0),"")</f>
        <v/>
      </c>
      <c r="E31" s="7">
        <f>IFERROR(ROUND(AVERAGEIFS(Datos!$G$2:$G$26103,Datos!$E$2:$E$26103,$A31,Datos!$B$2:$B$26103,9,Datos!$C$2:$C$26103,"&gt;=30",Datos!$F$2:$F$26103,"STANDBY"),0),"")</f>
        <v/>
      </c>
      <c r="F31" s="7">
        <f>IFERROR(ROUND(AVERAGEIFS(Datos!$G$2:$G$26103,Datos!$E$2:$E$26103,$A31,Datos!$B$2:$B$26103,10,Datos!$C$2:$C$26103,"&lt;30",Datos!$F$2:$F$26103,"STANDBY"),0),"")</f>
        <v/>
      </c>
      <c r="G31" s="7">
        <f>IFERROR(ROUND(AVERAGEIFS(Datos!$G$2:$G$26103,Datos!$E$2:$E$26103,$A31,Datos!$B$2:$B$26103,10,Datos!$C$2:$C$26103,"&gt;=30",Datos!$F$2:$F$26103,"STANDBY"),0),"")</f>
        <v/>
      </c>
      <c r="H31" s="7">
        <f>IFERROR(ROUND(AVERAGEIFS(Datos!$G$2:$G$26103,Datos!$E$2:$E$26103,$A31,Datos!$B$2:$B$26103,11,Datos!$C$2:$C$26103,"&lt;30",Datos!$F$2:$F$26103,"STANDBY"),0),"")</f>
        <v/>
      </c>
      <c r="I31" s="7">
        <f>IFERROR(ROUND(AVERAGEIFS(Datos!$G$2:$G$26103,Datos!$E$2:$E$26103,$A31,Datos!$B$2:$B$26103,11,Datos!$C$2:$C$26103,"&gt;=30",Datos!$F$2:$F$26103,"STANDBY"),0),"")</f>
        <v/>
      </c>
      <c r="J31" s="7">
        <f>IFERROR(ROUND(AVERAGEIFS(Datos!$G$2:$G$26103,Datos!$E$2:$E$26103,$A31,Datos!$B$2:$B$26103,12,Datos!$C$2:$C$26103,"&lt;30",Datos!$F$2:$F$26103,"STANDBY"),0),"")</f>
        <v/>
      </c>
      <c r="K31" s="7">
        <f>IFERROR(ROUND(AVERAGEIFS(Datos!$G$2:$G$26103,Datos!$E$2:$E$26103,$A31,Datos!$B$2:$B$26103,12,Datos!$C$2:$C$26103,"&gt;=30",Datos!$F$2:$F$26103,"STANDBY"),0),"")</f>
        <v/>
      </c>
      <c r="L31" s="7">
        <f>IFERROR(ROUND(AVERAGEIFS(Datos!$G$2:$G$26103,Datos!$E$2:$E$26103,$A31,Datos!$B$2:$B$26103,13,Datos!$C$2:$C$26103,"&lt;30",Datos!$F$2:$F$26103,"STANDBY"),0),"")</f>
        <v/>
      </c>
      <c r="M31" s="7">
        <f>IFERROR(ROUND(AVERAGEIFS(Datos!$G$2:$G$26103,Datos!$E$2:$E$26103,$A31,Datos!$B$2:$B$26103,13,Datos!$C$2:$C$26103,"&gt;=30",Datos!$F$2:$F$26103,"STANDBY"),0),"")</f>
        <v/>
      </c>
      <c r="N31" s="7">
        <f>IFERROR(ROUND(AVERAGEIFS(Datos!$G$2:$G$26103,Datos!$E$2:$E$26103,$A31,Datos!$B$2:$B$26103,14,Datos!$C$2:$C$26103,"&lt;30",Datos!$F$2:$F$26103,"STANDBY"),0),"")</f>
        <v/>
      </c>
      <c r="O31" s="7">
        <f>IFERROR(ROUND(AVERAGEIFS(Datos!$G$2:$G$26103,Datos!$E$2:$E$26103,$A31,Datos!$B$2:$B$26103,14,Datos!$C$2:$C$26103,"&gt;=30",Datos!$F$2:$F$26103,"STANDBY"),0),"")</f>
        <v/>
      </c>
      <c r="P31" s="7">
        <f>IFERROR(ROUND(AVERAGEIFS(Datos!$G$2:$G$26103,Datos!$E$2:$E$26103,$A31,Datos!$B$2:$B$26103,15,Datos!$C$2:$C$26103,"&lt;30",Datos!$F$2:$F$26103,"STANDBY"),0),"")</f>
        <v/>
      </c>
      <c r="Q31" s="7">
        <f>IFERROR(ROUND(AVERAGEIFS(Datos!$G$2:$G$26103,Datos!$E$2:$E$26103,$A31,Datos!$B$2:$B$26103,15,Datos!$C$2:$C$26103,"&gt;=30",Datos!$F$2:$F$26103,"STANDBY"),0),"")</f>
        <v/>
      </c>
      <c r="R31" s="7">
        <f>IFERROR(ROUND(AVERAGEIFS(Datos!$G$2:$G$26103,Datos!$E$2:$E$26103,$A31,Datos!$B$2:$B$26103,16,Datos!$C$2:$C$26103,"&lt;30",Datos!$F$2:$F$26103,"STANDBY"),0),"")</f>
        <v/>
      </c>
      <c r="S31" s="7">
        <f>IFERROR(ROUND(AVERAGEIFS(Datos!$G$2:$G$26103,Datos!$E$2:$E$26103,$A31,Datos!$B$2:$B$26103,16,Datos!$C$2:$C$26103,"&gt;=30",Datos!$F$2:$F$26103,"STANDBY"),0),"")</f>
        <v/>
      </c>
      <c r="T31" s="7">
        <f>IFERROR(ROUND(AVERAGEIFS(Datos!$G$2:$G$26103,Datos!$E$2:$E$26103,$A31,Datos!$B$2:$B$26103,17,Datos!$C$2:$C$26103,"&lt;30",Datos!$F$2:$F$26103,"STANDBY"),0),"")</f>
        <v/>
      </c>
      <c r="U31" s="7">
        <f>IFERROR(ROUND(AVERAGEIFS(Datos!$G$2:$G$26103,Datos!$E$2:$E$26103,$A31,Datos!$B$2:$B$26103,17,Datos!$C$2:$C$26103,"&gt;=30",Datos!$F$2:$F$26103,"STANDBY"),0),"")</f>
        <v/>
      </c>
      <c r="V31" s="7">
        <f>IFERROR(ROUND(AVERAGEIFS(Datos!$G$2:$G$26103,Datos!$E$2:$E$26103,$A31,Datos!$B$2:$B$26103,18,Datos!$C$2:$C$26103,"&lt;30",Datos!$F$2:$F$26103,"STANDBY"),0),"")</f>
        <v/>
      </c>
      <c r="W31" s="7">
        <f>IFERROR(ROUND(AVERAGEIFS(Datos!$G$2:$G$26103,Datos!$E$2:$E$26103,$A31,Datos!$B$2:$B$26103,18,Datos!$C$2:$C$26103,"&gt;=30",Datos!$F$2:$F$26103,"STANDBY"),0),"")</f>
        <v/>
      </c>
      <c r="X31" s="7">
        <f>IFERROR(ROUND(AVERAGEIFS(Datos!$G$2:$G$26103,Datos!$E$2:$E$26103,$A31,Datos!$B$2:$B$26103,19,Datos!$C$2:$C$26103,"&lt;30",Datos!$F$2:$F$26103,"STANDBY"),0),"")</f>
        <v/>
      </c>
      <c r="Y31" s="7">
        <f>IFERROR(ROUND(AVERAGEIFS(Datos!$G$2:$G$26103,Datos!$E$2:$E$26103,$A31,Datos!$B$2:$B$26103,19,Datos!$C$2:$C$26103,"&gt;=30",Datos!$F$2:$F$26103,"STANDBY"),0),"")</f>
        <v/>
      </c>
      <c r="Z31" s="7">
        <f>IFERROR(ROUND(AVERAGEIFS(Datos!$G$2:$G$26103,Datos!$E$2:$E$26103,$A31,Datos!$B$2:$B$26103,20,Datos!$C$2:$C$26103,"&lt;30",Datos!$F$2:$F$26103,"STANDBY"),0),"")</f>
        <v/>
      </c>
      <c r="AA31" s="7">
        <f>IFERROR(ROUND(AVERAGEIFS(Datos!$G$2:$G$26103,Datos!$E$2:$E$26103,$A31,Datos!$B$2:$B$26103,20,Datos!$C$2:$C$26103,"&gt;=30",Datos!$F$2:$F$26103,"STANDBY"),0),"")</f>
        <v/>
      </c>
      <c r="AB31" s="7">
        <f>IFERROR(ROUND(AVERAGEIFS(Datos!$G$2:$G$26103,Datos!$E$2:$E$26103,$A31,Datos!$B$2:$B$26103,21,Datos!$C$2:$C$26103,"&lt;30",Datos!$F$2:$F$26103,"STANDBY"),0),"")</f>
        <v/>
      </c>
      <c r="AC31" s="7">
        <f>IFERROR(ROUND(AVERAGEIFS(Datos!$G$2:$G$26103,Datos!$E$2:$E$26103,$A31,Datos!$B$2:$B$26103,21,Datos!$C$2:$C$26103,"&gt;=30",Datos!$F$2:$F$26103,"STANDBY"),0),"")</f>
        <v/>
      </c>
      <c r="AD31" s="7">
        <f>IFERROR(ROUND(AVERAGEIFS(Datos!$G$2:$G$26103,Datos!$E$2:$E$26103,$A31,Datos!$B$2:$B$26103,22,Datos!$C$2:$C$26103,"&lt;30",Datos!$F$2:$F$26103,"STANDBY"),0),"")</f>
        <v/>
      </c>
      <c r="AE31" s="7">
        <f>IFERROR(ROUND(AVERAGEIFS(Datos!$G$2:$G$26103,Datos!$E$2:$E$26103,$A31,Datos!$B$2:$B$26103,22,Datos!$C$2:$C$26103,"&gt;=30",Datos!$F$2:$F$26103,"STANDBY"),0),"")</f>
        <v/>
      </c>
      <c r="AF31" s="7">
        <f>IFERROR(ROUND(AVERAGEIFS(Datos!$G$2:$G$26103,Datos!$E$2:$E$26103,$A31,Datos!$B$2:$B$26103,23,Datos!$C$2:$C$26103,"&lt;30",Datos!$F$2:$F$26103,"STANDBY"),0),"")</f>
        <v/>
      </c>
      <c r="AG31" s="7">
        <f>IFERROR(ROUND(AVERAGEIFS(Datos!$G$2:$G$26103,Datos!$E$2:$E$26103,$A31,Datos!$B$2:$B$26103,23,Datos!$C$2:$C$26103,"&gt;=30",Datos!$F$2:$F$26103,"STANDBY"),0),"")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IFERROR(ROUND(AVERAGEIFS(Datos!$G$2:$G$26103,Datos!$E$2:$E$26103,$A32,Datos!$B$2:$B$26103,8,Datos!$C$2:$C$26103,"&lt;30",Datos!$F$2:$F$26103,"STANDBY"),0),"")</f>
        <v/>
      </c>
      <c r="C32" s="7">
        <f>IFERROR(ROUND(AVERAGEIFS(Datos!$G$2:$G$26103,Datos!$E$2:$E$26103,$A32,Datos!$B$2:$B$26103,8,Datos!$C$2:$C$26103,"&gt;=30",Datos!$F$2:$F$26103,"STANDBY"),0),"")</f>
        <v/>
      </c>
      <c r="D32" s="7">
        <f>IFERROR(ROUND(AVERAGEIFS(Datos!$G$2:$G$26103,Datos!$E$2:$E$26103,$A32,Datos!$B$2:$B$26103,9,Datos!$C$2:$C$26103,"&lt;30",Datos!$F$2:$F$26103,"STANDBY"),0),"")</f>
        <v/>
      </c>
      <c r="E32" s="7">
        <f>IFERROR(ROUND(AVERAGEIFS(Datos!$G$2:$G$26103,Datos!$E$2:$E$26103,$A32,Datos!$B$2:$B$26103,9,Datos!$C$2:$C$26103,"&gt;=30",Datos!$F$2:$F$26103,"STANDBY"),0),"")</f>
        <v/>
      </c>
      <c r="F32" s="7">
        <f>IFERROR(ROUND(AVERAGEIFS(Datos!$G$2:$G$26103,Datos!$E$2:$E$26103,$A32,Datos!$B$2:$B$26103,10,Datos!$C$2:$C$26103,"&lt;30",Datos!$F$2:$F$26103,"STANDBY"),0),"")</f>
        <v/>
      </c>
      <c r="G32" s="7">
        <f>IFERROR(ROUND(AVERAGEIFS(Datos!$G$2:$G$26103,Datos!$E$2:$E$26103,$A32,Datos!$B$2:$B$26103,10,Datos!$C$2:$C$26103,"&gt;=30",Datos!$F$2:$F$26103,"STANDBY"),0),"")</f>
        <v/>
      </c>
      <c r="H32" s="7">
        <f>IFERROR(ROUND(AVERAGEIFS(Datos!$G$2:$G$26103,Datos!$E$2:$E$26103,$A32,Datos!$B$2:$B$26103,11,Datos!$C$2:$C$26103,"&lt;30",Datos!$F$2:$F$26103,"STANDBY"),0),"")</f>
        <v/>
      </c>
      <c r="I32" s="7">
        <f>IFERROR(ROUND(AVERAGEIFS(Datos!$G$2:$G$26103,Datos!$E$2:$E$26103,$A32,Datos!$B$2:$B$26103,11,Datos!$C$2:$C$26103,"&gt;=30",Datos!$F$2:$F$26103,"STANDBY"),0),"")</f>
        <v/>
      </c>
      <c r="J32" s="7">
        <f>IFERROR(ROUND(AVERAGEIFS(Datos!$G$2:$G$26103,Datos!$E$2:$E$26103,$A32,Datos!$B$2:$B$26103,12,Datos!$C$2:$C$26103,"&lt;30",Datos!$F$2:$F$26103,"STANDBY"),0),"")</f>
        <v/>
      </c>
      <c r="K32" s="7">
        <f>IFERROR(ROUND(AVERAGEIFS(Datos!$G$2:$G$26103,Datos!$E$2:$E$26103,$A32,Datos!$B$2:$B$26103,12,Datos!$C$2:$C$26103,"&gt;=30",Datos!$F$2:$F$26103,"STANDBY"),0),"")</f>
        <v/>
      </c>
      <c r="L32" s="7">
        <f>IFERROR(ROUND(AVERAGEIFS(Datos!$G$2:$G$26103,Datos!$E$2:$E$26103,$A32,Datos!$B$2:$B$26103,13,Datos!$C$2:$C$26103,"&lt;30",Datos!$F$2:$F$26103,"STANDBY"),0),"")</f>
        <v/>
      </c>
      <c r="M32" s="7">
        <f>IFERROR(ROUND(AVERAGEIFS(Datos!$G$2:$G$26103,Datos!$E$2:$E$26103,$A32,Datos!$B$2:$B$26103,13,Datos!$C$2:$C$26103,"&gt;=30",Datos!$F$2:$F$26103,"STANDBY"),0),"")</f>
        <v/>
      </c>
      <c r="N32" s="7">
        <f>IFERROR(ROUND(AVERAGEIFS(Datos!$G$2:$G$26103,Datos!$E$2:$E$26103,$A32,Datos!$B$2:$B$26103,14,Datos!$C$2:$C$26103,"&lt;30",Datos!$F$2:$F$26103,"STANDBY"),0),"")</f>
        <v/>
      </c>
      <c r="O32" s="7">
        <f>IFERROR(ROUND(AVERAGEIFS(Datos!$G$2:$G$26103,Datos!$E$2:$E$26103,$A32,Datos!$B$2:$B$26103,14,Datos!$C$2:$C$26103,"&gt;=30",Datos!$F$2:$F$26103,"STANDBY"),0),"")</f>
        <v/>
      </c>
      <c r="P32" s="7">
        <f>IFERROR(ROUND(AVERAGEIFS(Datos!$G$2:$G$26103,Datos!$E$2:$E$26103,$A32,Datos!$B$2:$B$26103,15,Datos!$C$2:$C$26103,"&lt;30",Datos!$F$2:$F$26103,"STANDBY"),0),"")</f>
        <v/>
      </c>
      <c r="Q32" s="7">
        <f>IFERROR(ROUND(AVERAGEIFS(Datos!$G$2:$G$26103,Datos!$E$2:$E$26103,$A32,Datos!$B$2:$B$26103,15,Datos!$C$2:$C$26103,"&gt;=30",Datos!$F$2:$F$26103,"STANDBY"),0),"")</f>
        <v/>
      </c>
      <c r="R32" s="7">
        <f>IFERROR(ROUND(AVERAGEIFS(Datos!$G$2:$G$26103,Datos!$E$2:$E$26103,$A32,Datos!$B$2:$B$26103,16,Datos!$C$2:$C$26103,"&lt;30",Datos!$F$2:$F$26103,"STANDBY"),0),"")</f>
        <v/>
      </c>
      <c r="S32" s="7">
        <f>IFERROR(ROUND(AVERAGEIFS(Datos!$G$2:$G$26103,Datos!$E$2:$E$26103,$A32,Datos!$B$2:$B$26103,16,Datos!$C$2:$C$26103,"&gt;=30",Datos!$F$2:$F$26103,"STANDBY"),0),"")</f>
        <v/>
      </c>
      <c r="T32" s="7">
        <f>IFERROR(ROUND(AVERAGEIFS(Datos!$G$2:$G$26103,Datos!$E$2:$E$26103,$A32,Datos!$B$2:$B$26103,17,Datos!$C$2:$C$26103,"&lt;30",Datos!$F$2:$F$26103,"STANDBY"),0),"")</f>
        <v/>
      </c>
      <c r="U32" s="7">
        <f>IFERROR(ROUND(AVERAGEIFS(Datos!$G$2:$G$26103,Datos!$E$2:$E$26103,$A32,Datos!$B$2:$B$26103,17,Datos!$C$2:$C$26103,"&gt;=30",Datos!$F$2:$F$26103,"STANDBY"),0),"")</f>
        <v/>
      </c>
      <c r="V32" s="7">
        <f>IFERROR(ROUND(AVERAGEIFS(Datos!$G$2:$G$26103,Datos!$E$2:$E$26103,$A32,Datos!$B$2:$B$26103,18,Datos!$C$2:$C$26103,"&lt;30",Datos!$F$2:$F$26103,"STANDBY"),0),"")</f>
        <v/>
      </c>
      <c r="W32" s="7">
        <f>IFERROR(ROUND(AVERAGEIFS(Datos!$G$2:$G$26103,Datos!$E$2:$E$26103,$A32,Datos!$B$2:$B$26103,18,Datos!$C$2:$C$26103,"&gt;=30",Datos!$F$2:$F$26103,"STANDBY"),0),"")</f>
        <v/>
      </c>
      <c r="X32" s="7">
        <f>IFERROR(ROUND(AVERAGEIFS(Datos!$G$2:$G$26103,Datos!$E$2:$E$26103,$A32,Datos!$B$2:$B$26103,19,Datos!$C$2:$C$26103,"&lt;30",Datos!$F$2:$F$26103,"STANDBY"),0),"")</f>
        <v/>
      </c>
      <c r="Y32" s="7">
        <f>IFERROR(ROUND(AVERAGEIFS(Datos!$G$2:$G$26103,Datos!$E$2:$E$26103,$A32,Datos!$B$2:$B$26103,19,Datos!$C$2:$C$26103,"&gt;=30",Datos!$F$2:$F$26103,"STANDBY"),0),"")</f>
        <v/>
      </c>
      <c r="Z32" s="7">
        <f>IFERROR(ROUND(AVERAGEIFS(Datos!$G$2:$G$26103,Datos!$E$2:$E$26103,$A32,Datos!$B$2:$B$26103,20,Datos!$C$2:$C$26103,"&lt;30",Datos!$F$2:$F$26103,"STANDBY"),0),"")</f>
        <v/>
      </c>
      <c r="AA32" s="7">
        <f>IFERROR(ROUND(AVERAGEIFS(Datos!$G$2:$G$26103,Datos!$E$2:$E$26103,$A32,Datos!$B$2:$B$26103,20,Datos!$C$2:$C$26103,"&gt;=30",Datos!$F$2:$F$26103,"STANDBY"),0),"")</f>
        <v/>
      </c>
      <c r="AB32" s="7">
        <f>IFERROR(ROUND(AVERAGEIFS(Datos!$G$2:$G$26103,Datos!$E$2:$E$26103,$A32,Datos!$B$2:$B$26103,21,Datos!$C$2:$C$26103,"&lt;30",Datos!$F$2:$F$26103,"STANDBY"),0),"")</f>
        <v/>
      </c>
      <c r="AC32" s="7">
        <f>IFERROR(ROUND(AVERAGEIFS(Datos!$G$2:$G$26103,Datos!$E$2:$E$26103,$A32,Datos!$B$2:$B$26103,21,Datos!$C$2:$C$26103,"&gt;=30",Datos!$F$2:$F$26103,"STANDBY"),0),"")</f>
        <v/>
      </c>
      <c r="AD32" s="7">
        <f>IFERROR(ROUND(AVERAGEIFS(Datos!$G$2:$G$26103,Datos!$E$2:$E$26103,$A32,Datos!$B$2:$B$26103,22,Datos!$C$2:$C$26103,"&lt;30",Datos!$F$2:$F$26103,"STANDBY"),0),"")</f>
        <v/>
      </c>
      <c r="AE32" s="7">
        <f>IFERROR(ROUND(AVERAGEIFS(Datos!$G$2:$G$26103,Datos!$E$2:$E$26103,$A32,Datos!$B$2:$B$26103,22,Datos!$C$2:$C$26103,"&gt;=30",Datos!$F$2:$F$26103,"STANDBY"),0),"")</f>
        <v/>
      </c>
      <c r="AF32" s="7">
        <f>IFERROR(ROUND(AVERAGEIFS(Datos!$G$2:$G$26103,Datos!$E$2:$E$26103,$A32,Datos!$B$2:$B$26103,23,Datos!$C$2:$C$26103,"&lt;30",Datos!$F$2:$F$26103,"STANDBY"),0),"")</f>
        <v/>
      </c>
      <c r="AG32" s="7">
        <f>IFERROR(ROUND(AVERAGEIFS(Datos!$G$2:$G$26103,Datos!$E$2:$E$26103,$A32,Datos!$B$2:$B$26103,23,Datos!$C$2:$C$26103,"&gt;=30",Datos!$F$2:$F$26103,"STANDBY"),0),"")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IFERROR(ROUND(AVERAGEIFS(Datos!$G$2:$G$26103,Datos!$E$2:$E$26103,$A33,Datos!$B$2:$B$26103,8,Datos!$C$2:$C$26103,"&lt;30",Datos!$F$2:$F$26103,"STANDBY"),0),"")</f>
        <v/>
      </c>
      <c r="C33" s="7">
        <f>IFERROR(ROUND(AVERAGEIFS(Datos!$G$2:$G$26103,Datos!$E$2:$E$26103,$A33,Datos!$B$2:$B$26103,8,Datos!$C$2:$C$26103,"&gt;=30",Datos!$F$2:$F$26103,"STANDBY"),0),"")</f>
        <v/>
      </c>
      <c r="D33" s="7">
        <f>IFERROR(ROUND(AVERAGEIFS(Datos!$G$2:$G$26103,Datos!$E$2:$E$26103,$A33,Datos!$B$2:$B$26103,9,Datos!$C$2:$C$26103,"&lt;30",Datos!$F$2:$F$26103,"STANDBY"),0),"")</f>
        <v/>
      </c>
      <c r="E33" s="7">
        <f>IFERROR(ROUND(AVERAGEIFS(Datos!$G$2:$G$26103,Datos!$E$2:$E$26103,$A33,Datos!$B$2:$B$26103,9,Datos!$C$2:$C$26103,"&gt;=30",Datos!$F$2:$F$26103,"STANDBY"),0),"")</f>
        <v/>
      </c>
      <c r="F33" s="7">
        <f>IFERROR(ROUND(AVERAGEIFS(Datos!$G$2:$G$26103,Datos!$E$2:$E$26103,$A33,Datos!$B$2:$B$26103,10,Datos!$C$2:$C$26103,"&lt;30",Datos!$F$2:$F$26103,"STANDBY"),0),"")</f>
        <v/>
      </c>
      <c r="G33" s="7">
        <f>IFERROR(ROUND(AVERAGEIFS(Datos!$G$2:$G$26103,Datos!$E$2:$E$26103,$A33,Datos!$B$2:$B$26103,10,Datos!$C$2:$C$26103,"&gt;=30",Datos!$F$2:$F$26103,"STANDBY"),0),"")</f>
        <v/>
      </c>
      <c r="H33" s="7">
        <f>IFERROR(ROUND(AVERAGEIFS(Datos!$G$2:$G$26103,Datos!$E$2:$E$26103,$A33,Datos!$B$2:$B$26103,11,Datos!$C$2:$C$26103,"&lt;30",Datos!$F$2:$F$26103,"STANDBY"),0),"")</f>
        <v/>
      </c>
      <c r="I33" s="7">
        <f>IFERROR(ROUND(AVERAGEIFS(Datos!$G$2:$G$26103,Datos!$E$2:$E$26103,$A33,Datos!$B$2:$B$26103,11,Datos!$C$2:$C$26103,"&gt;=30",Datos!$F$2:$F$26103,"STANDBY"),0),"")</f>
        <v/>
      </c>
      <c r="J33" s="7">
        <f>IFERROR(ROUND(AVERAGEIFS(Datos!$G$2:$G$26103,Datos!$E$2:$E$26103,$A33,Datos!$B$2:$B$26103,12,Datos!$C$2:$C$26103,"&lt;30",Datos!$F$2:$F$26103,"STANDBY"),0),"")</f>
        <v/>
      </c>
      <c r="K33" s="7">
        <f>IFERROR(ROUND(AVERAGEIFS(Datos!$G$2:$G$26103,Datos!$E$2:$E$26103,$A33,Datos!$B$2:$B$26103,12,Datos!$C$2:$C$26103,"&gt;=30",Datos!$F$2:$F$26103,"STANDBY"),0),"")</f>
        <v/>
      </c>
      <c r="L33" s="7">
        <f>IFERROR(ROUND(AVERAGEIFS(Datos!$G$2:$G$26103,Datos!$E$2:$E$26103,$A33,Datos!$B$2:$B$26103,13,Datos!$C$2:$C$26103,"&lt;30",Datos!$F$2:$F$26103,"STANDBY"),0),"")</f>
        <v/>
      </c>
      <c r="M33" s="7">
        <f>IFERROR(ROUND(AVERAGEIFS(Datos!$G$2:$G$26103,Datos!$E$2:$E$26103,$A33,Datos!$B$2:$B$26103,13,Datos!$C$2:$C$26103,"&gt;=30",Datos!$F$2:$F$26103,"STANDBY"),0),"")</f>
        <v/>
      </c>
      <c r="N33" s="7">
        <f>IFERROR(ROUND(AVERAGEIFS(Datos!$G$2:$G$26103,Datos!$E$2:$E$26103,$A33,Datos!$B$2:$B$26103,14,Datos!$C$2:$C$26103,"&lt;30",Datos!$F$2:$F$26103,"STANDBY"),0),"")</f>
        <v/>
      </c>
      <c r="O33" s="7">
        <f>IFERROR(ROUND(AVERAGEIFS(Datos!$G$2:$G$26103,Datos!$E$2:$E$26103,$A33,Datos!$B$2:$B$26103,14,Datos!$C$2:$C$26103,"&gt;=30",Datos!$F$2:$F$26103,"STANDBY"),0),"")</f>
        <v/>
      </c>
      <c r="P33" s="7">
        <f>IFERROR(ROUND(AVERAGEIFS(Datos!$G$2:$G$26103,Datos!$E$2:$E$26103,$A33,Datos!$B$2:$B$26103,15,Datos!$C$2:$C$26103,"&lt;30",Datos!$F$2:$F$26103,"STANDBY"),0),"")</f>
        <v/>
      </c>
      <c r="Q33" s="7">
        <f>IFERROR(ROUND(AVERAGEIFS(Datos!$G$2:$G$26103,Datos!$E$2:$E$26103,$A33,Datos!$B$2:$B$26103,15,Datos!$C$2:$C$26103,"&gt;=30",Datos!$F$2:$F$26103,"STANDBY"),0),"")</f>
        <v/>
      </c>
      <c r="R33" s="7">
        <f>IFERROR(ROUND(AVERAGEIFS(Datos!$G$2:$G$26103,Datos!$E$2:$E$26103,$A33,Datos!$B$2:$B$26103,16,Datos!$C$2:$C$26103,"&lt;30",Datos!$F$2:$F$26103,"STANDBY"),0),"")</f>
        <v/>
      </c>
      <c r="S33" s="7">
        <f>IFERROR(ROUND(AVERAGEIFS(Datos!$G$2:$G$26103,Datos!$E$2:$E$26103,$A33,Datos!$B$2:$B$26103,16,Datos!$C$2:$C$26103,"&gt;=30",Datos!$F$2:$F$26103,"STANDBY"),0),"")</f>
        <v/>
      </c>
      <c r="T33" s="7">
        <f>IFERROR(ROUND(AVERAGEIFS(Datos!$G$2:$G$26103,Datos!$E$2:$E$26103,$A33,Datos!$B$2:$B$26103,17,Datos!$C$2:$C$26103,"&lt;30",Datos!$F$2:$F$26103,"STANDBY"),0),"")</f>
        <v/>
      </c>
      <c r="U33" s="7">
        <f>IFERROR(ROUND(AVERAGEIFS(Datos!$G$2:$G$26103,Datos!$E$2:$E$26103,$A33,Datos!$B$2:$B$26103,17,Datos!$C$2:$C$26103,"&gt;=30",Datos!$F$2:$F$26103,"STANDBY"),0),"")</f>
        <v/>
      </c>
      <c r="V33" s="7">
        <f>IFERROR(ROUND(AVERAGEIFS(Datos!$G$2:$G$26103,Datos!$E$2:$E$26103,$A33,Datos!$B$2:$B$26103,18,Datos!$C$2:$C$26103,"&lt;30",Datos!$F$2:$F$26103,"STANDBY"),0),"")</f>
        <v/>
      </c>
      <c r="W33" s="7">
        <f>IFERROR(ROUND(AVERAGEIFS(Datos!$G$2:$G$26103,Datos!$E$2:$E$26103,$A33,Datos!$B$2:$B$26103,18,Datos!$C$2:$C$26103,"&gt;=30",Datos!$F$2:$F$26103,"STANDBY"),0),"")</f>
        <v/>
      </c>
      <c r="X33" s="7">
        <f>IFERROR(ROUND(AVERAGEIFS(Datos!$G$2:$G$26103,Datos!$E$2:$E$26103,$A33,Datos!$B$2:$B$26103,19,Datos!$C$2:$C$26103,"&lt;30",Datos!$F$2:$F$26103,"STANDBY"),0),"")</f>
        <v/>
      </c>
      <c r="Y33" s="7">
        <f>IFERROR(ROUND(AVERAGEIFS(Datos!$G$2:$G$26103,Datos!$E$2:$E$26103,$A33,Datos!$B$2:$B$26103,19,Datos!$C$2:$C$26103,"&gt;=30",Datos!$F$2:$F$26103,"STANDBY"),0),"")</f>
        <v/>
      </c>
      <c r="Z33" s="7">
        <f>IFERROR(ROUND(AVERAGEIFS(Datos!$G$2:$G$26103,Datos!$E$2:$E$26103,$A33,Datos!$B$2:$B$26103,20,Datos!$C$2:$C$26103,"&lt;30",Datos!$F$2:$F$26103,"STANDBY"),0),"")</f>
        <v/>
      </c>
      <c r="AA33" s="7">
        <f>IFERROR(ROUND(AVERAGEIFS(Datos!$G$2:$G$26103,Datos!$E$2:$E$26103,$A33,Datos!$B$2:$B$26103,20,Datos!$C$2:$C$26103,"&gt;=30",Datos!$F$2:$F$26103,"STANDBY"),0),"")</f>
        <v/>
      </c>
      <c r="AB33" s="7">
        <f>IFERROR(ROUND(AVERAGEIFS(Datos!$G$2:$G$26103,Datos!$E$2:$E$26103,$A33,Datos!$B$2:$B$26103,21,Datos!$C$2:$C$26103,"&lt;30",Datos!$F$2:$F$26103,"STANDBY"),0),"")</f>
        <v/>
      </c>
      <c r="AC33" s="7">
        <f>IFERROR(ROUND(AVERAGEIFS(Datos!$G$2:$G$26103,Datos!$E$2:$E$26103,$A33,Datos!$B$2:$B$26103,21,Datos!$C$2:$C$26103,"&gt;=30",Datos!$F$2:$F$26103,"STANDBY"),0),"")</f>
        <v/>
      </c>
      <c r="AD33" s="7">
        <f>IFERROR(ROUND(AVERAGEIFS(Datos!$G$2:$G$26103,Datos!$E$2:$E$26103,$A33,Datos!$B$2:$B$26103,22,Datos!$C$2:$C$26103,"&lt;30",Datos!$F$2:$F$26103,"STANDBY"),0),"")</f>
        <v/>
      </c>
      <c r="AE33" s="7">
        <f>IFERROR(ROUND(AVERAGEIFS(Datos!$G$2:$G$26103,Datos!$E$2:$E$26103,$A33,Datos!$B$2:$B$26103,22,Datos!$C$2:$C$26103,"&gt;=30",Datos!$F$2:$F$26103,"STANDBY"),0),"")</f>
        <v/>
      </c>
      <c r="AF33" s="7">
        <f>IFERROR(ROUND(AVERAGEIFS(Datos!$G$2:$G$26103,Datos!$E$2:$E$26103,$A33,Datos!$B$2:$B$26103,23,Datos!$C$2:$C$26103,"&lt;30",Datos!$F$2:$F$26103,"STANDBY"),0),"")</f>
        <v/>
      </c>
      <c r="AG33" s="7">
        <f>IFERROR(ROUND(AVERAGEIFS(Datos!$G$2:$G$26103,Datos!$E$2:$E$26103,$A33,Datos!$B$2:$B$26103,23,Datos!$C$2:$C$26103,"&gt;=30",Datos!$F$2:$F$26103,"STANDBY"),0),"")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IFERROR(ROUND(AVERAGEIFS(Datos!$G$2:$G$26103,Datos!$E$2:$E$26103,$A34,Datos!$B$2:$B$26103,8,Datos!$C$2:$C$26103,"&lt;30",Datos!$F$2:$F$26103,"STANDBY"),0),"")</f>
        <v/>
      </c>
      <c r="C34" s="7">
        <f>IFERROR(ROUND(AVERAGEIFS(Datos!$G$2:$G$26103,Datos!$E$2:$E$26103,$A34,Datos!$B$2:$B$26103,8,Datos!$C$2:$C$26103,"&gt;=30",Datos!$F$2:$F$26103,"STANDBY"),0),"")</f>
        <v/>
      </c>
      <c r="D34" s="7">
        <f>IFERROR(ROUND(AVERAGEIFS(Datos!$G$2:$G$26103,Datos!$E$2:$E$26103,$A34,Datos!$B$2:$B$26103,9,Datos!$C$2:$C$26103,"&lt;30",Datos!$F$2:$F$26103,"STANDBY"),0),"")</f>
        <v/>
      </c>
      <c r="E34" s="7">
        <f>IFERROR(ROUND(AVERAGEIFS(Datos!$G$2:$G$26103,Datos!$E$2:$E$26103,$A34,Datos!$B$2:$B$26103,9,Datos!$C$2:$C$26103,"&gt;=30",Datos!$F$2:$F$26103,"STANDBY"),0),"")</f>
        <v/>
      </c>
      <c r="F34" s="7">
        <f>IFERROR(ROUND(AVERAGEIFS(Datos!$G$2:$G$26103,Datos!$E$2:$E$26103,$A34,Datos!$B$2:$B$26103,10,Datos!$C$2:$C$26103,"&lt;30",Datos!$F$2:$F$26103,"STANDBY"),0),"")</f>
        <v/>
      </c>
      <c r="G34" s="7">
        <f>IFERROR(ROUND(AVERAGEIFS(Datos!$G$2:$G$26103,Datos!$E$2:$E$26103,$A34,Datos!$B$2:$B$26103,10,Datos!$C$2:$C$26103,"&gt;=30",Datos!$F$2:$F$26103,"STANDBY"),0),"")</f>
        <v/>
      </c>
      <c r="H34" s="7">
        <f>IFERROR(ROUND(AVERAGEIFS(Datos!$G$2:$G$26103,Datos!$E$2:$E$26103,$A34,Datos!$B$2:$B$26103,11,Datos!$C$2:$C$26103,"&lt;30",Datos!$F$2:$F$26103,"STANDBY"),0),"")</f>
        <v/>
      </c>
      <c r="I34" s="7">
        <f>IFERROR(ROUND(AVERAGEIFS(Datos!$G$2:$G$26103,Datos!$E$2:$E$26103,$A34,Datos!$B$2:$B$26103,11,Datos!$C$2:$C$26103,"&gt;=30",Datos!$F$2:$F$26103,"STANDBY"),0),"")</f>
        <v/>
      </c>
      <c r="J34" s="7">
        <f>IFERROR(ROUND(AVERAGEIFS(Datos!$G$2:$G$26103,Datos!$E$2:$E$26103,$A34,Datos!$B$2:$B$26103,12,Datos!$C$2:$C$26103,"&lt;30",Datos!$F$2:$F$26103,"STANDBY"),0),"")</f>
        <v/>
      </c>
      <c r="K34" s="7">
        <f>IFERROR(ROUND(AVERAGEIFS(Datos!$G$2:$G$26103,Datos!$E$2:$E$26103,$A34,Datos!$B$2:$B$26103,12,Datos!$C$2:$C$26103,"&gt;=30",Datos!$F$2:$F$26103,"STANDBY"),0),"")</f>
        <v/>
      </c>
      <c r="L34" s="7">
        <f>IFERROR(ROUND(AVERAGEIFS(Datos!$G$2:$G$26103,Datos!$E$2:$E$26103,$A34,Datos!$B$2:$B$26103,13,Datos!$C$2:$C$26103,"&lt;30",Datos!$F$2:$F$26103,"STANDBY"),0),"")</f>
        <v/>
      </c>
      <c r="M34" s="7">
        <f>IFERROR(ROUND(AVERAGEIFS(Datos!$G$2:$G$26103,Datos!$E$2:$E$26103,$A34,Datos!$B$2:$B$26103,13,Datos!$C$2:$C$26103,"&gt;=30",Datos!$F$2:$F$26103,"STANDBY"),0),"")</f>
        <v/>
      </c>
      <c r="N34" s="7">
        <f>IFERROR(ROUND(AVERAGEIFS(Datos!$G$2:$G$26103,Datos!$E$2:$E$26103,$A34,Datos!$B$2:$B$26103,14,Datos!$C$2:$C$26103,"&lt;30",Datos!$F$2:$F$26103,"STANDBY"),0),"")</f>
        <v/>
      </c>
      <c r="O34" s="7">
        <f>IFERROR(ROUND(AVERAGEIFS(Datos!$G$2:$G$26103,Datos!$E$2:$E$26103,$A34,Datos!$B$2:$B$26103,14,Datos!$C$2:$C$26103,"&gt;=30",Datos!$F$2:$F$26103,"STANDBY"),0),"")</f>
        <v/>
      </c>
      <c r="P34" s="7">
        <f>IFERROR(ROUND(AVERAGEIFS(Datos!$G$2:$G$26103,Datos!$E$2:$E$26103,$A34,Datos!$B$2:$B$26103,15,Datos!$C$2:$C$26103,"&lt;30",Datos!$F$2:$F$26103,"STANDBY"),0),"")</f>
        <v/>
      </c>
      <c r="Q34" s="7">
        <f>IFERROR(ROUND(AVERAGEIFS(Datos!$G$2:$G$26103,Datos!$E$2:$E$26103,$A34,Datos!$B$2:$B$26103,15,Datos!$C$2:$C$26103,"&gt;=30",Datos!$F$2:$F$26103,"STANDBY"),0),"")</f>
        <v/>
      </c>
      <c r="R34" s="7">
        <f>IFERROR(ROUND(AVERAGEIFS(Datos!$G$2:$G$26103,Datos!$E$2:$E$26103,$A34,Datos!$B$2:$B$26103,16,Datos!$C$2:$C$26103,"&lt;30",Datos!$F$2:$F$26103,"STANDBY"),0),"")</f>
        <v/>
      </c>
      <c r="S34" s="7">
        <f>IFERROR(ROUND(AVERAGEIFS(Datos!$G$2:$G$26103,Datos!$E$2:$E$26103,$A34,Datos!$B$2:$B$26103,16,Datos!$C$2:$C$26103,"&gt;=30",Datos!$F$2:$F$26103,"STANDBY"),0),"")</f>
        <v/>
      </c>
      <c r="T34" s="7">
        <f>IFERROR(ROUND(AVERAGEIFS(Datos!$G$2:$G$26103,Datos!$E$2:$E$26103,$A34,Datos!$B$2:$B$26103,17,Datos!$C$2:$C$26103,"&lt;30",Datos!$F$2:$F$26103,"STANDBY"),0),"")</f>
        <v/>
      </c>
      <c r="U34" s="7">
        <f>IFERROR(ROUND(AVERAGEIFS(Datos!$G$2:$G$26103,Datos!$E$2:$E$26103,$A34,Datos!$B$2:$B$26103,17,Datos!$C$2:$C$26103,"&gt;=30",Datos!$F$2:$F$26103,"STANDBY"),0),"")</f>
        <v/>
      </c>
      <c r="V34" s="7">
        <f>IFERROR(ROUND(AVERAGEIFS(Datos!$G$2:$G$26103,Datos!$E$2:$E$26103,$A34,Datos!$B$2:$B$26103,18,Datos!$C$2:$C$26103,"&lt;30",Datos!$F$2:$F$26103,"STANDBY"),0),"")</f>
        <v/>
      </c>
      <c r="W34" s="7">
        <f>IFERROR(ROUND(AVERAGEIFS(Datos!$G$2:$G$26103,Datos!$E$2:$E$26103,$A34,Datos!$B$2:$B$26103,18,Datos!$C$2:$C$26103,"&gt;=30",Datos!$F$2:$F$26103,"STANDBY"),0),"")</f>
        <v/>
      </c>
      <c r="X34" s="7">
        <f>IFERROR(ROUND(AVERAGEIFS(Datos!$G$2:$G$26103,Datos!$E$2:$E$26103,$A34,Datos!$B$2:$B$26103,19,Datos!$C$2:$C$26103,"&lt;30",Datos!$F$2:$F$26103,"STANDBY"),0),"")</f>
        <v/>
      </c>
      <c r="Y34" s="7">
        <f>IFERROR(ROUND(AVERAGEIFS(Datos!$G$2:$G$26103,Datos!$E$2:$E$26103,$A34,Datos!$B$2:$B$26103,19,Datos!$C$2:$C$26103,"&gt;=30",Datos!$F$2:$F$26103,"STANDBY"),0),"")</f>
        <v/>
      </c>
      <c r="Z34" s="7">
        <f>IFERROR(ROUND(AVERAGEIFS(Datos!$G$2:$G$26103,Datos!$E$2:$E$26103,$A34,Datos!$B$2:$B$26103,20,Datos!$C$2:$C$26103,"&lt;30",Datos!$F$2:$F$26103,"STANDBY"),0),"")</f>
        <v/>
      </c>
      <c r="AA34" s="7">
        <f>IFERROR(ROUND(AVERAGEIFS(Datos!$G$2:$G$26103,Datos!$E$2:$E$26103,$A34,Datos!$B$2:$B$26103,20,Datos!$C$2:$C$26103,"&gt;=30",Datos!$F$2:$F$26103,"STANDBY"),0),"")</f>
        <v/>
      </c>
      <c r="AB34" s="7">
        <f>IFERROR(ROUND(AVERAGEIFS(Datos!$G$2:$G$26103,Datos!$E$2:$E$26103,$A34,Datos!$B$2:$B$26103,21,Datos!$C$2:$C$26103,"&lt;30",Datos!$F$2:$F$26103,"STANDBY"),0),"")</f>
        <v/>
      </c>
      <c r="AC34" s="7">
        <f>IFERROR(ROUND(AVERAGEIFS(Datos!$G$2:$G$26103,Datos!$E$2:$E$26103,$A34,Datos!$B$2:$B$26103,21,Datos!$C$2:$C$26103,"&gt;=30",Datos!$F$2:$F$26103,"STANDBY"),0),"")</f>
        <v/>
      </c>
      <c r="AD34" s="7">
        <f>IFERROR(ROUND(AVERAGEIFS(Datos!$G$2:$G$26103,Datos!$E$2:$E$26103,$A34,Datos!$B$2:$B$26103,22,Datos!$C$2:$C$26103,"&lt;30",Datos!$F$2:$F$26103,"STANDBY"),0),"")</f>
        <v/>
      </c>
      <c r="AE34" s="7">
        <f>IFERROR(ROUND(AVERAGEIFS(Datos!$G$2:$G$26103,Datos!$E$2:$E$26103,$A34,Datos!$B$2:$B$26103,22,Datos!$C$2:$C$26103,"&gt;=30",Datos!$F$2:$F$26103,"STANDBY"),0),"")</f>
        <v/>
      </c>
      <c r="AF34" s="7">
        <f>IFERROR(ROUND(AVERAGEIFS(Datos!$G$2:$G$26103,Datos!$E$2:$E$26103,$A34,Datos!$B$2:$B$26103,23,Datos!$C$2:$C$26103,"&lt;30",Datos!$F$2:$F$26103,"STANDBY"),0),"")</f>
        <v/>
      </c>
      <c r="AG34" s="7">
        <f>IFERROR(ROUND(AVERAGEIFS(Datos!$G$2:$G$26103,Datos!$E$2:$E$26103,$A34,Datos!$B$2:$B$26103,23,Datos!$C$2:$C$26103,"&gt;=30",Datos!$F$2:$F$26103,"STANDBY"),0),"")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IFERROR(ROUND(AVERAGEIFS(Datos!$G$2:$G$26103,Datos!$E$2:$E$26103,$A35,Datos!$B$2:$B$26103,8,Datos!$C$2:$C$26103,"&lt;30",Datos!$F$2:$F$26103,"STANDBY"),0),"")</f>
        <v/>
      </c>
      <c r="C35" s="7">
        <f>IFERROR(ROUND(AVERAGEIFS(Datos!$G$2:$G$26103,Datos!$E$2:$E$26103,$A35,Datos!$B$2:$B$26103,8,Datos!$C$2:$C$26103,"&gt;=30",Datos!$F$2:$F$26103,"STANDBY"),0),"")</f>
        <v/>
      </c>
      <c r="D35" s="7">
        <f>IFERROR(ROUND(AVERAGEIFS(Datos!$G$2:$G$26103,Datos!$E$2:$E$26103,$A35,Datos!$B$2:$B$26103,9,Datos!$C$2:$C$26103,"&lt;30",Datos!$F$2:$F$26103,"STANDBY"),0),"")</f>
        <v/>
      </c>
      <c r="E35" s="7">
        <f>IFERROR(ROUND(AVERAGEIFS(Datos!$G$2:$G$26103,Datos!$E$2:$E$26103,$A35,Datos!$B$2:$B$26103,9,Datos!$C$2:$C$26103,"&gt;=30",Datos!$F$2:$F$26103,"STANDBY"),0),"")</f>
        <v/>
      </c>
      <c r="F35" s="7">
        <f>IFERROR(ROUND(AVERAGEIFS(Datos!$G$2:$G$26103,Datos!$E$2:$E$26103,$A35,Datos!$B$2:$B$26103,10,Datos!$C$2:$C$26103,"&lt;30",Datos!$F$2:$F$26103,"STANDBY"),0),"")</f>
        <v/>
      </c>
      <c r="G35" s="7">
        <f>IFERROR(ROUND(AVERAGEIFS(Datos!$G$2:$G$26103,Datos!$E$2:$E$26103,$A35,Datos!$B$2:$B$26103,10,Datos!$C$2:$C$26103,"&gt;=30",Datos!$F$2:$F$26103,"STANDBY"),0),"")</f>
        <v/>
      </c>
      <c r="H35" s="7">
        <f>IFERROR(ROUND(AVERAGEIFS(Datos!$G$2:$G$26103,Datos!$E$2:$E$26103,$A35,Datos!$B$2:$B$26103,11,Datos!$C$2:$C$26103,"&lt;30",Datos!$F$2:$F$26103,"STANDBY"),0),"")</f>
        <v/>
      </c>
      <c r="I35" s="7">
        <f>IFERROR(ROUND(AVERAGEIFS(Datos!$G$2:$G$26103,Datos!$E$2:$E$26103,$A35,Datos!$B$2:$B$26103,11,Datos!$C$2:$C$26103,"&gt;=30",Datos!$F$2:$F$26103,"STANDBY"),0),"")</f>
        <v/>
      </c>
      <c r="J35" s="7">
        <f>IFERROR(ROUND(AVERAGEIFS(Datos!$G$2:$G$26103,Datos!$E$2:$E$26103,$A35,Datos!$B$2:$B$26103,12,Datos!$C$2:$C$26103,"&lt;30",Datos!$F$2:$F$26103,"STANDBY"),0),"")</f>
        <v/>
      </c>
      <c r="K35" s="7">
        <f>IFERROR(ROUND(AVERAGEIFS(Datos!$G$2:$G$26103,Datos!$E$2:$E$26103,$A35,Datos!$B$2:$B$26103,12,Datos!$C$2:$C$26103,"&gt;=30",Datos!$F$2:$F$26103,"STANDBY"),0),"")</f>
        <v/>
      </c>
      <c r="L35" s="7">
        <f>IFERROR(ROUND(AVERAGEIFS(Datos!$G$2:$G$26103,Datos!$E$2:$E$26103,$A35,Datos!$B$2:$B$26103,13,Datos!$C$2:$C$26103,"&lt;30",Datos!$F$2:$F$26103,"STANDBY"),0),"")</f>
        <v/>
      </c>
      <c r="M35" s="7">
        <f>IFERROR(ROUND(AVERAGEIFS(Datos!$G$2:$G$26103,Datos!$E$2:$E$26103,$A35,Datos!$B$2:$B$26103,13,Datos!$C$2:$C$26103,"&gt;=30",Datos!$F$2:$F$26103,"STANDBY"),0),"")</f>
        <v/>
      </c>
      <c r="N35" s="7">
        <f>IFERROR(ROUND(AVERAGEIFS(Datos!$G$2:$G$26103,Datos!$E$2:$E$26103,$A35,Datos!$B$2:$B$26103,14,Datos!$C$2:$C$26103,"&lt;30",Datos!$F$2:$F$26103,"STANDBY"),0),"")</f>
        <v/>
      </c>
      <c r="O35" s="7">
        <f>IFERROR(ROUND(AVERAGEIFS(Datos!$G$2:$G$26103,Datos!$E$2:$E$26103,$A35,Datos!$B$2:$B$26103,14,Datos!$C$2:$C$26103,"&gt;=30",Datos!$F$2:$F$26103,"STANDBY"),0),"")</f>
        <v/>
      </c>
      <c r="P35" s="7">
        <f>IFERROR(ROUND(AVERAGEIFS(Datos!$G$2:$G$26103,Datos!$E$2:$E$26103,$A35,Datos!$B$2:$B$26103,15,Datos!$C$2:$C$26103,"&lt;30",Datos!$F$2:$F$26103,"STANDBY"),0),"")</f>
        <v/>
      </c>
      <c r="Q35" s="7">
        <f>IFERROR(ROUND(AVERAGEIFS(Datos!$G$2:$G$26103,Datos!$E$2:$E$26103,$A35,Datos!$B$2:$B$26103,15,Datos!$C$2:$C$26103,"&gt;=30",Datos!$F$2:$F$26103,"STANDBY"),0),"")</f>
        <v/>
      </c>
      <c r="R35" s="7">
        <f>IFERROR(ROUND(AVERAGEIFS(Datos!$G$2:$G$26103,Datos!$E$2:$E$26103,$A35,Datos!$B$2:$B$26103,16,Datos!$C$2:$C$26103,"&lt;30",Datos!$F$2:$F$26103,"STANDBY"),0),"")</f>
        <v/>
      </c>
      <c r="S35" s="7">
        <f>IFERROR(ROUND(AVERAGEIFS(Datos!$G$2:$G$26103,Datos!$E$2:$E$26103,$A35,Datos!$B$2:$B$26103,16,Datos!$C$2:$C$26103,"&gt;=30",Datos!$F$2:$F$26103,"STANDBY"),0),"")</f>
        <v/>
      </c>
      <c r="T35" s="7">
        <f>IFERROR(ROUND(AVERAGEIFS(Datos!$G$2:$G$26103,Datos!$E$2:$E$26103,$A35,Datos!$B$2:$B$26103,17,Datos!$C$2:$C$26103,"&lt;30",Datos!$F$2:$F$26103,"STANDBY"),0),"")</f>
        <v/>
      </c>
      <c r="U35" s="7">
        <f>IFERROR(ROUND(AVERAGEIFS(Datos!$G$2:$G$26103,Datos!$E$2:$E$26103,$A35,Datos!$B$2:$B$26103,17,Datos!$C$2:$C$26103,"&gt;=30",Datos!$F$2:$F$26103,"STANDBY"),0),"")</f>
        <v/>
      </c>
      <c r="V35" s="7">
        <f>IFERROR(ROUND(AVERAGEIFS(Datos!$G$2:$G$26103,Datos!$E$2:$E$26103,$A35,Datos!$B$2:$B$26103,18,Datos!$C$2:$C$26103,"&lt;30",Datos!$F$2:$F$26103,"STANDBY"),0),"")</f>
        <v/>
      </c>
      <c r="W35" s="7">
        <f>IFERROR(ROUND(AVERAGEIFS(Datos!$G$2:$G$26103,Datos!$E$2:$E$26103,$A35,Datos!$B$2:$B$26103,18,Datos!$C$2:$C$26103,"&gt;=30",Datos!$F$2:$F$26103,"STANDBY"),0),"")</f>
        <v/>
      </c>
      <c r="X35" s="7">
        <f>IFERROR(ROUND(AVERAGEIFS(Datos!$G$2:$G$26103,Datos!$E$2:$E$26103,$A35,Datos!$B$2:$B$26103,19,Datos!$C$2:$C$26103,"&lt;30",Datos!$F$2:$F$26103,"STANDBY"),0),"")</f>
        <v/>
      </c>
      <c r="Y35" s="7">
        <f>IFERROR(ROUND(AVERAGEIFS(Datos!$G$2:$G$26103,Datos!$E$2:$E$26103,$A35,Datos!$B$2:$B$26103,19,Datos!$C$2:$C$26103,"&gt;=30",Datos!$F$2:$F$26103,"STANDBY"),0),"")</f>
        <v/>
      </c>
      <c r="Z35" s="7">
        <f>IFERROR(ROUND(AVERAGEIFS(Datos!$G$2:$G$26103,Datos!$E$2:$E$26103,$A35,Datos!$B$2:$B$26103,20,Datos!$C$2:$C$26103,"&lt;30",Datos!$F$2:$F$26103,"STANDBY"),0),"")</f>
        <v/>
      </c>
      <c r="AA35" s="7">
        <f>IFERROR(ROUND(AVERAGEIFS(Datos!$G$2:$G$26103,Datos!$E$2:$E$26103,$A35,Datos!$B$2:$B$26103,20,Datos!$C$2:$C$26103,"&gt;=30",Datos!$F$2:$F$26103,"STANDBY"),0),"")</f>
        <v/>
      </c>
      <c r="AB35" s="7">
        <f>IFERROR(ROUND(AVERAGEIFS(Datos!$G$2:$G$26103,Datos!$E$2:$E$26103,$A35,Datos!$B$2:$B$26103,21,Datos!$C$2:$C$26103,"&lt;30",Datos!$F$2:$F$26103,"STANDBY"),0),"")</f>
        <v/>
      </c>
      <c r="AC35" s="7">
        <f>IFERROR(ROUND(AVERAGEIFS(Datos!$G$2:$G$26103,Datos!$E$2:$E$26103,$A35,Datos!$B$2:$B$26103,21,Datos!$C$2:$C$26103,"&gt;=30",Datos!$F$2:$F$26103,"STANDBY"),0),"")</f>
        <v/>
      </c>
      <c r="AD35" s="7">
        <f>IFERROR(ROUND(AVERAGEIFS(Datos!$G$2:$G$26103,Datos!$E$2:$E$26103,$A35,Datos!$B$2:$B$26103,22,Datos!$C$2:$C$26103,"&lt;30",Datos!$F$2:$F$26103,"STANDBY"),0),"")</f>
        <v/>
      </c>
      <c r="AE35" s="7">
        <f>IFERROR(ROUND(AVERAGEIFS(Datos!$G$2:$G$26103,Datos!$E$2:$E$26103,$A35,Datos!$B$2:$B$26103,22,Datos!$C$2:$C$26103,"&gt;=30",Datos!$F$2:$F$26103,"STANDBY"),0),"")</f>
        <v/>
      </c>
      <c r="AF35" s="7">
        <f>IFERROR(ROUND(AVERAGEIFS(Datos!$G$2:$G$26103,Datos!$E$2:$E$26103,$A35,Datos!$B$2:$B$26103,23,Datos!$C$2:$C$26103,"&lt;30",Datos!$F$2:$F$26103,"STANDBY"),0),"")</f>
        <v/>
      </c>
      <c r="AG35" s="7">
        <f>IFERROR(ROUND(AVERAGEIFS(Datos!$G$2:$G$26103,Datos!$E$2:$E$26103,$A35,Datos!$B$2:$B$26103,23,Datos!$C$2:$C$26103,"&gt;=30",Datos!$F$2:$F$26103,"STANDBY"),0),"")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IFERROR(ROUND(AVERAGEIFS(Datos!$G$2:$G$26103,Datos!$E$2:$E$26103,$A36,Datos!$B$2:$B$26103,8,Datos!$C$2:$C$26103,"&lt;30",Datos!$F$2:$F$26103,"STANDBY"),0),"")</f>
        <v/>
      </c>
      <c r="C36" s="7">
        <f>IFERROR(ROUND(AVERAGEIFS(Datos!$G$2:$G$26103,Datos!$E$2:$E$26103,$A36,Datos!$B$2:$B$26103,8,Datos!$C$2:$C$26103,"&gt;=30",Datos!$F$2:$F$26103,"STANDBY"),0),"")</f>
        <v/>
      </c>
      <c r="D36" s="7">
        <f>IFERROR(ROUND(AVERAGEIFS(Datos!$G$2:$G$26103,Datos!$E$2:$E$26103,$A36,Datos!$B$2:$B$26103,9,Datos!$C$2:$C$26103,"&lt;30",Datos!$F$2:$F$26103,"STANDBY"),0),"")</f>
        <v/>
      </c>
      <c r="E36" s="7">
        <f>IFERROR(ROUND(AVERAGEIFS(Datos!$G$2:$G$26103,Datos!$E$2:$E$26103,$A36,Datos!$B$2:$B$26103,9,Datos!$C$2:$C$26103,"&gt;=30",Datos!$F$2:$F$26103,"STANDBY"),0),"")</f>
        <v/>
      </c>
      <c r="F36" s="7">
        <f>IFERROR(ROUND(AVERAGEIFS(Datos!$G$2:$G$26103,Datos!$E$2:$E$26103,$A36,Datos!$B$2:$B$26103,10,Datos!$C$2:$C$26103,"&lt;30",Datos!$F$2:$F$26103,"STANDBY"),0),"")</f>
        <v/>
      </c>
      <c r="G36" s="7">
        <f>IFERROR(ROUND(AVERAGEIFS(Datos!$G$2:$G$26103,Datos!$E$2:$E$26103,$A36,Datos!$B$2:$B$26103,10,Datos!$C$2:$C$26103,"&gt;=30",Datos!$F$2:$F$26103,"STANDBY"),0),"")</f>
        <v/>
      </c>
      <c r="H36" s="7">
        <f>IFERROR(ROUND(AVERAGEIFS(Datos!$G$2:$G$26103,Datos!$E$2:$E$26103,$A36,Datos!$B$2:$B$26103,11,Datos!$C$2:$C$26103,"&lt;30",Datos!$F$2:$F$26103,"STANDBY"),0),"")</f>
        <v/>
      </c>
      <c r="I36" s="7">
        <f>IFERROR(ROUND(AVERAGEIFS(Datos!$G$2:$G$26103,Datos!$E$2:$E$26103,$A36,Datos!$B$2:$B$26103,11,Datos!$C$2:$C$26103,"&gt;=30",Datos!$F$2:$F$26103,"STANDBY"),0),"")</f>
        <v/>
      </c>
      <c r="J36" s="7">
        <f>IFERROR(ROUND(AVERAGEIFS(Datos!$G$2:$G$26103,Datos!$E$2:$E$26103,$A36,Datos!$B$2:$B$26103,12,Datos!$C$2:$C$26103,"&lt;30",Datos!$F$2:$F$26103,"STANDBY"),0),"")</f>
        <v/>
      </c>
      <c r="K36" s="7">
        <f>IFERROR(ROUND(AVERAGEIFS(Datos!$G$2:$G$26103,Datos!$E$2:$E$26103,$A36,Datos!$B$2:$B$26103,12,Datos!$C$2:$C$26103,"&gt;=30",Datos!$F$2:$F$26103,"STANDBY"),0),"")</f>
        <v/>
      </c>
      <c r="L36" s="7">
        <f>IFERROR(ROUND(AVERAGEIFS(Datos!$G$2:$G$26103,Datos!$E$2:$E$26103,$A36,Datos!$B$2:$B$26103,13,Datos!$C$2:$C$26103,"&lt;30",Datos!$F$2:$F$26103,"STANDBY"),0),"")</f>
        <v/>
      </c>
      <c r="M36" s="7">
        <f>IFERROR(ROUND(AVERAGEIFS(Datos!$G$2:$G$26103,Datos!$E$2:$E$26103,$A36,Datos!$B$2:$B$26103,13,Datos!$C$2:$C$26103,"&gt;=30",Datos!$F$2:$F$26103,"STANDBY"),0),"")</f>
        <v/>
      </c>
      <c r="N36" s="7">
        <f>IFERROR(ROUND(AVERAGEIFS(Datos!$G$2:$G$26103,Datos!$E$2:$E$26103,$A36,Datos!$B$2:$B$26103,14,Datos!$C$2:$C$26103,"&lt;30",Datos!$F$2:$F$26103,"STANDBY"),0),"")</f>
        <v/>
      </c>
      <c r="O36" s="7">
        <f>IFERROR(ROUND(AVERAGEIFS(Datos!$G$2:$G$26103,Datos!$E$2:$E$26103,$A36,Datos!$B$2:$B$26103,14,Datos!$C$2:$C$26103,"&gt;=30",Datos!$F$2:$F$26103,"STANDBY"),0),"")</f>
        <v/>
      </c>
      <c r="P36" s="7">
        <f>IFERROR(ROUND(AVERAGEIFS(Datos!$G$2:$G$26103,Datos!$E$2:$E$26103,$A36,Datos!$B$2:$B$26103,15,Datos!$C$2:$C$26103,"&lt;30",Datos!$F$2:$F$26103,"STANDBY"),0),"")</f>
        <v/>
      </c>
      <c r="Q36" s="7">
        <f>IFERROR(ROUND(AVERAGEIFS(Datos!$G$2:$G$26103,Datos!$E$2:$E$26103,$A36,Datos!$B$2:$B$26103,15,Datos!$C$2:$C$26103,"&gt;=30",Datos!$F$2:$F$26103,"STANDBY"),0),"")</f>
        <v/>
      </c>
      <c r="R36" s="7">
        <f>IFERROR(ROUND(AVERAGEIFS(Datos!$G$2:$G$26103,Datos!$E$2:$E$26103,$A36,Datos!$B$2:$B$26103,16,Datos!$C$2:$C$26103,"&lt;30",Datos!$F$2:$F$26103,"STANDBY"),0),"")</f>
        <v/>
      </c>
      <c r="S36" s="7">
        <f>IFERROR(ROUND(AVERAGEIFS(Datos!$G$2:$G$26103,Datos!$E$2:$E$26103,$A36,Datos!$B$2:$B$26103,16,Datos!$C$2:$C$26103,"&gt;=30",Datos!$F$2:$F$26103,"STANDBY"),0),"")</f>
        <v/>
      </c>
      <c r="T36" s="7">
        <f>IFERROR(ROUND(AVERAGEIFS(Datos!$G$2:$G$26103,Datos!$E$2:$E$26103,$A36,Datos!$B$2:$B$26103,17,Datos!$C$2:$C$26103,"&lt;30",Datos!$F$2:$F$26103,"STANDBY"),0),"")</f>
        <v/>
      </c>
      <c r="U36" s="7">
        <f>IFERROR(ROUND(AVERAGEIFS(Datos!$G$2:$G$26103,Datos!$E$2:$E$26103,$A36,Datos!$B$2:$B$26103,17,Datos!$C$2:$C$26103,"&gt;=30",Datos!$F$2:$F$26103,"STANDBY"),0),"")</f>
        <v/>
      </c>
      <c r="V36" s="7">
        <f>IFERROR(ROUND(AVERAGEIFS(Datos!$G$2:$G$26103,Datos!$E$2:$E$26103,$A36,Datos!$B$2:$B$26103,18,Datos!$C$2:$C$26103,"&lt;30",Datos!$F$2:$F$26103,"STANDBY"),0),"")</f>
        <v/>
      </c>
      <c r="W36" s="7">
        <f>IFERROR(ROUND(AVERAGEIFS(Datos!$G$2:$G$26103,Datos!$E$2:$E$26103,$A36,Datos!$B$2:$B$26103,18,Datos!$C$2:$C$26103,"&gt;=30",Datos!$F$2:$F$26103,"STANDBY"),0),"")</f>
        <v/>
      </c>
      <c r="X36" s="7">
        <f>IFERROR(ROUND(AVERAGEIFS(Datos!$G$2:$G$26103,Datos!$E$2:$E$26103,$A36,Datos!$B$2:$B$26103,19,Datos!$C$2:$C$26103,"&lt;30",Datos!$F$2:$F$26103,"STANDBY"),0),"")</f>
        <v/>
      </c>
      <c r="Y36" s="7">
        <f>IFERROR(ROUND(AVERAGEIFS(Datos!$G$2:$G$26103,Datos!$E$2:$E$26103,$A36,Datos!$B$2:$B$26103,19,Datos!$C$2:$C$26103,"&gt;=30",Datos!$F$2:$F$26103,"STANDBY"),0),"")</f>
        <v/>
      </c>
      <c r="Z36" s="7">
        <f>IFERROR(ROUND(AVERAGEIFS(Datos!$G$2:$G$26103,Datos!$E$2:$E$26103,$A36,Datos!$B$2:$B$26103,20,Datos!$C$2:$C$26103,"&lt;30",Datos!$F$2:$F$26103,"STANDBY"),0),"")</f>
        <v/>
      </c>
      <c r="AA36" s="7">
        <f>IFERROR(ROUND(AVERAGEIFS(Datos!$G$2:$G$26103,Datos!$E$2:$E$26103,$A36,Datos!$B$2:$B$26103,20,Datos!$C$2:$C$26103,"&gt;=30",Datos!$F$2:$F$26103,"STANDBY"),0),"")</f>
        <v/>
      </c>
      <c r="AB36" s="7">
        <f>IFERROR(ROUND(AVERAGEIFS(Datos!$G$2:$G$26103,Datos!$E$2:$E$26103,$A36,Datos!$B$2:$B$26103,21,Datos!$C$2:$C$26103,"&lt;30",Datos!$F$2:$F$26103,"STANDBY"),0),"")</f>
        <v/>
      </c>
      <c r="AC36" s="7">
        <f>IFERROR(ROUND(AVERAGEIFS(Datos!$G$2:$G$26103,Datos!$E$2:$E$26103,$A36,Datos!$B$2:$B$26103,21,Datos!$C$2:$C$26103,"&gt;=30",Datos!$F$2:$F$26103,"STANDBY"),0),"")</f>
        <v/>
      </c>
      <c r="AD36" s="7">
        <f>IFERROR(ROUND(AVERAGEIFS(Datos!$G$2:$G$26103,Datos!$E$2:$E$26103,$A36,Datos!$B$2:$B$26103,22,Datos!$C$2:$C$26103,"&lt;30",Datos!$F$2:$F$26103,"STANDBY"),0),"")</f>
        <v/>
      </c>
      <c r="AE36" s="7">
        <f>IFERROR(ROUND(AVERAGEIFS(Datos!$G$2:$G$26103,Datos!$E$2:$E$26103,$A36,Datos!$B$2:$B$26103,22,Datos!$C$2:$C$26103,"&gt;=30",Datos!$F$2:$F$26103,"STANDBY"),0),"")</f>
        <v/>
      </c>
      <c r="AF36" s="7">
        <f>IFERROR(ROUND(AVERAGEIFS(Datos!$G$2:$G$26103,Datos!$E$2:$E$26103,$A36,Datos!$B$2:$B$26103,23,Datos!$C$2:$C$26103,"&lt;30",Datos!$F$2:$F$26103,"STANDBY"),0),"")</f>
        <v/>
      </c>
      <c r="AG36" s="7">
        <f>IFERROR(ROUND(AVERAGEIFS(Datos!$G$2:$G$26103,Datos!$E$2:$E$26103,$A36,Datos!$B$2:$B$26103,23,Datos!$C$2:$C$26103,"&gt;=30",Datos!$F$2:$F$26103,"STANDBY"),0),"")</f>
        <v/>
      </c>
    </row>
    <row r="37">
      <c r="A37" s="6" t="inlineStr">
        <is>
          <t>Dumbo the Flying Elephant</t>
        </is>
      </c>
      <c r="B37" s="7">
        <f>IFERROR(ROUND(AVERAGEIFS(Datos!$G$2:$G$26103,Datos!$E$2:$E$26103,$A37,Datos!$B$2:$B$26103,8,Datos!$C$2:$C$26103,"&lt;30",Datos!$F$2:$F$26103,"STANDBY"),0),"")</f>
        <v/>
      </c>
      <c r="C37" s="7">
        <f>IFERROR(ROUND(AVERAGEIFS(Datos!$G$2:$G$26103,Datos!$E$2:$E$26103,$A37,Datos!$B$2:$B$26103,8,Datos!$C$2:$C$26103,"&gt;=30",Datos!$F$2:$F$26103,"STANDBY"),0),"")</f>
        <v/>
      </c>
      <c r="D37" s="7">
        <f>IFERROR(ROUND(AVERAGEIFS(Datos!$G$2:$G$26103,Datos!$E$2:$E$26103,$A37,Datos!$B$2:$B$26103,9,Datos!$C$2:$C$26103,"&lt;30",Datos!$F$2:$F$26103,"STANDBY"),0),"")</f>
        <v/>
      </c>
      <c r="E37" s="7">
        <f>IFERROR(ROUND(AVERAGEIFS(Datos!$G$2:$G$26103,Datos!$E$2:$E$26103,$A37,Datos!$B$2:$B$26103,9,Datos!$C$2:$C$26103,"&gt;=30",Datos!$F$2:$F$26103,"STANDBY"),0),"")</f>
        <v/>
      </c>
      <c r="F37" s="7">
        <f>IFERROR(ROUND(AVERAGEIFS(Datos!$G$2:$G$26103,Datos!$E$2:$E$26103,$A37,Datos!$B$2:$B$26103,10,Datos!$C$2:$C$26103,"&lt;30",Datos!$F$2:$F$26103,"STANDBY"),0),"")</f>
        <v/>
      </c>
      <c r="G37" s="7">
        <f>IFERROR(ROUND(AVERAGEIFS(Datos!$G$2:$G$26103,Datos!$E$2:$E$26103,$A37,Datos!$B$2:$B$26103,10,Datos!$C$2:$C$26103,"&gt;=30",Datos!$F$2:$F$26103,"STANDBY"),0),"")</f>
        <v/>
      </c>
      <c r="H37" s="7">
        <f>IFERROR(ROUND(AVERAGEIFS(Datos!$G$2:$G$26103,Datos!$E$2:$E$26103,$A37,Datos!$B$2:$B$26103,11,Datos!$C$2:$C$26103,"&lt;30",Datos!$F$2:$F$26103,"STANDBY"),0),"")</f>
        <v/>
      </c>
      <c r="I37" s="7">
        <f>IFERROR(ROUND(AVERAGEIFS(Datos!$G$2:$G$26103,Datos!$E$2:$E$26103,$A37,Datos!$B$2:$B$26103,11,Datos!$C$2:$C$26103,"&gt;=30",Datos!$F$2:$F$26103,"STANDBY"),0),"")</f>
        <v/>
      </c>
      <c r="J37" s="7">
        <f>IFERROR(ROUND(AVERAGEIFS(Datos!$G$2:$G$26103,Datos!$E$2:$E$26103,$A37,Datos!$B$2:$B$26103,12,Datos!$C$2:$C$26103,"&lt;30",Datos!$F$2:$F$26103,"STANDBY"),0),"")</f>
        <v/>
      </c>
      <c r="K37" s="7">
        <f>IFERROR(ROUND(AVERAGEIFS(Datos!$G$2:$G$26103,Datos!$E$2:$E$26103,$A37,Datos!$B$2:$B$26103,12,Datos!$C$2:$C$26103,"&gt;=30",Datos!$F$2:$F$26103,"STANDBY"),0),"")</f>
        <v/>
      </c>
      <c r="L37" s="7">
        <f>IFERROR(ROUND(AVERAGEIFS(Datos!$G$2:$G$26103,Datos!$E$2:$E$26103,$A37,Datos!$B$2:$B$26103,13,Datos!$C$2:$C$26103,"&lt;30",Datos!$F$2:$F$26103,"STANDBY"),0),"")</f>
        <v/>
      </c>
      <c r="M37" s="7">
        <f>IFERROR(ROUND(AVERAGEIFS(Datos!$G$2:$G$26103,Datos!$E$2:$E$26103,$A37,Datos!$B$2:$B$26103,13,Datos!$C$2:$C$26103,"&gt;=30",Datos!$F$2:$F$26103,"STANDBY"),0),"")</f>
        <v/>
      </c>
      <c r="N37" s="7">
        <f>IFERROR(ROUND(AVERAGEIFS(Datos!$G$2:$G$26103,Datos!$E$2:$E$26103,$A37,Datos!$B$2:$B$26103,14,Datos!$C$2:$C$26103,"&lt;30",Datos!$F$2:$F$26103,"STANDBY"),0),"")</f>
        <v/>
      </c>
      <c r="O37" s="7">
        <f>IFERROR(ROUND(AVERAGEIFS(Datos!$G$2:$G$26103,Datos!$E$2:$E$26103,$A37,Datos!$B$2:$B$26103,14,Datos!$C$2:$C$26103,"&gt;=30",Datos!$F$2:$F$26103,"STANDBY"),0),"")</f>
        <v/>
      </c>
      <c r="P37" s="7">
        <f>IFERROR(ROUND(AVERAGEIFS(Datos!$G$2:$G$26103,Datos!$E$2:$E$26103,$A37,Datos!$B$2:$B$26103,15,Datos!$C$2:$C$26103,"&lt;30",Datos!$F$2:$F$26103,"STANDBY"),0),"")</f>
        <v/>
      </c>
      <c r="Q37" s="7">
        <f>IFERROR(ROUND(AVERAGEIFS(Datos!$G$2:$G$26103,Datos!$E$2:$E$26103,$A37,Datos!$B$2:$B$26103,15,Datos!$C$2:$C$26103,"&gt;=30",Datos!$F$2:$F$26103,"STANDBY"),0),"")</f>
        <v/>
      </c>
      <c r="R37" s="7">
        <f>IFERROR(ROUND(AVERAGEIFS(Datos!$G$2:$G$26103,Datos!$E$2:$E$26103,$A37,Datos!$B$2:$B$26103,16,Datos!$C$2:$C$26103,"&lt;30",Datos!$F$2:$F$26103,"STANDBY"),0),"")</f>
        <v/>
      </c>
      <c r="S37" s="7">
        <f>IFERROR(ROUND(AVERAGEIFS(Datos!$G$2:$G$26103,Datos!$E$2:$E$26103,$A37,Datos!$B$2:$B$26103,16,Datos!$C$2:$C$26103,"&gt;=30",Datos!$F$2:$F$26103,"STANDBY"),0),"")</f>
        <v/>
      </c>
      <c r="T37" s="7">
        <f>IFERROR(ROUND(AVERAGEIFS(Datos!$G$2:$G$26103,Datos!$E$2:$E$26103,$A37,Datos!$B$2:$B$26103,17,Datos!$C$2:$C$26103,"&lt;30",Datos!$F$2:$F$26103,"STANDBY"),0),"")</f>
        <v/>
      </c>
      <c r="U37" s="7">
        <f>IFERROR(ROUND(AVERAGEIFS(Datos!$G$2:$G$26103,Datos!$E$2:$E$26103,$A37,Datos!$B$2:$B$26103,17,Datos!$C$2:$C$26103,"&gt;=30",Datos!$F$2:$F$26103,"STANDBY"),0),"")</f>
        <v/>
      </c>
      <c r="V37" s="7">
        <f>IFERROR(ROUND(AVERAGEIFS(Datos!$G$2:$G$26103,Datos!$E$2:$E$26103,$A37,Datos!$B$2:$B$26103,18,Datos!$C$2:$C$26103,"&lt;30",Datos!$F$2:$F$26103,"STANDBY"),0),"")</f>
        <v/>
      </c>
      <c r="W37" s="7">
        <f>IFERROR(ROUND(AVERAGEIFS(Datos!$G$2:$G$26103,Datos!$E$2:$E$26103,$A37,Datos!$B$2:$B$26103,18,Datos!$C$2:$C$26103,"&gt;=30",Datos!$F$2:$F$26103,"STANDBY"),0),"")</f>
        <v/>
      </c>
      <c r="X37" s="7">
        <f>IFERROR(ROUND(AVERAGEIFS(Datos!$G$2:$G$26103,Datos!$E$2:$E$26103,$A37,Datos!$B$2:$B$26103,19,Datos!$C$2:$C$26103,"&lt;30",Datos!$F$2:$F$26103,"STANDBY"),0),"")</f>
        <v/>
      </c>
      <c r="Y37" s="7">
        <f>IFERROR(ROUND(AVERAGEIFS(Datos!$G$2:$G$26103,Datos!$E$2:$E$26103,$A37,Datos!$B$2:$B$26103,19,Datos!$C$2:$C$26103,"&gt;=30",Datos!$F$2:$F$26103,"STANDBY"),0),"")</f>
        <v/>
      </c>
      <c r="Z37" s="7">
        <f>IFERROR(ROUND(AVERAGEIFS(Datos!$G$2:$G$26103,Datos!$E$2:$E$26103,$A37,Datos!$B$2:$B$26103,20,Datos!$C$2:$C$26103,"&lt;30",Datos!$F$2:$F$26103,"STANDBY"),0),"")</f>
        <v/>
      </c>
      <c r="AA37" s="7">
        <f>IFERROR(ROUND(AVERAGEIFS(Datos!$G$2:$G$26103,Datos!$E$2:$E$26103,$A37,Datos!$B$2:$B$26103,20,Datos!$C$2:$C$26103,"&gt;=30",Datos!$F$2:$F$26103,"STANDBY"),0),"")</f>
        <v/>
      </c>
      <c r="AB37" s="7">
        <f>IFERROR(ROUND(AVERAGEIFS(Datos!$G$2:$G$26103,Datos!$E$2:$E$26103,$A37,Datos!$B$2:$B$26103,21,Datos!$C$2:$C$26103,"&lt;30",Datos!$F$2:$F$26103,"STANDBY"),0),"")</f>
        <v/>
      </c>
      <c r="AC37" s="7">
        <f>IFERROR(ROUND(AVERAGEIFS(Datos!$G$2:$G$26103,Datos!$E$2:$E$26103,$A37,Datos!$B$2:$B$26103,21,Datos!$C$2:$C$26103,"&gt;=30",Datos!$F$2:$F$26103,"STANDBY"),0),"")</f>
        <v/>
      </c>
      <c r="AD37" s="7">
        <f>IFERROR(ROUND(AVERAGEIFS(Datos!$G$2:$G$26103,Datos!$E$2:$E$26103,$A37,Datos!$B$2:$B$26103,22,Datos!$C$2:$C$26103,"&lt;30",Datos!$F$2:$F$26103,"STANDBY"),0),"")</f>
        <v/>
      </c>
      <c r="AE37" s="7">
        <f>IFERROR(ROUND(AVERAGEIFS(Datos!$G$2:$G$26103,Datos!$E$2:$E$26103,$A37,Datos!$B$2:$B$26103,22,Datos!$C$2:$C$26103,"&gt;=30",Datos!$F$2:$F$26103,"STANDBY"),0),"")</f>
        <v/>
      </c>
      <c r="AF37" s="7">
        <f>IFERROR(ROUND(AVERAGEIFS(Datos!$G$2:$G$26103,Datos!$E$2:$E$26103,$A37,Datos!$B$2:$B$26103,23,Datos!$C$2:$C$26103,"&lt;30",Datos!$F$2:$F$26103,"STANDBY"),0),"")</f>
        <v/>
      </c>
      <c r="AG37" s="7">
        <f>IFERROR(ROUND(AVERAGEIFS(Datos!$G$2:$G$26103,Datos!$E$2:$E$26103,$A37,Datos!$B$2:$B$26103,23,Datos!$C$2:$C$26103,"&gt;=30",Datos!$F$2:$F$26103,"STANDBY"),0),"")</f>
        <v/>
      </c>
    </row>
    <row r="38">
      <c r="A38" s="6" t="inlineStr">
        <is>
          <t>Frontierland Playground</t>
        </is>
      </c>
      <c r="B38" s="7">
        <f>IFERROR(ROUND(AVERAGEIFS(Datos!$G$2:$G$26103,Datos!$E$2:$E$26103,$A38,Datos!$B$2:$B$26103,8,Datos!$C$2:$C$26103,"&lt;30",Datos!$F$2:$F$26103,"STANDBY"),0),"")</f>
        <v/>
      </c>
      <c r="C38" s="7">
        <f>IFERROR(ROUND(AVERAGEIFS(Datos!$G$2:$G$26103,Datos!$E$2:$E$26103,$A38,Datos!$B$2:$B$26103,8,Datos!$C$2:$C$26103,"&gt;=30",Datos!$F$2:$F$26103,"STANDBY"),0),"")</f>
        <v/>
      </c>
      <c r="D38" s="7">
        <f>IFERROR(ROUND(AVERAGEIFS(Datos!$G$2:$G$26103,Datos!$E$2:$E$26103,$A38,Datos!$B$2:$B$26103,9,Datos!$C$2:$C$26103,"&lt;30",Datos!$F$2:$F$26103,"STANDBY"),0),"")</f>
        <v/>
      </c>
      <c r="E38" s="7">
        <f>IFERROR(ROUND(AVERAGEIFS(Datos!$G$2:$G$26103,Datos!$E$2:$E$26103,$A38,Datos!$B$2:$B$26103,9,Datos!$C$2:$C$26103,"&gt;=30",Datos!$F$2:$F$26103,"STANDBY"),0),"")</f>
        <v/>
      </c>
      <c r="F38" s="7">
        <f>IFERROR(ROUND(AVERAGEIFS(Datos!$G$2:$G$26103,Datos!$E$2:$E$26103,$A38,Datos!$B$2:$B$26103,10,Datos!$C$2:$C$26103,"&lt;30",Datos!$F$2:$F$26103,"STANDBY"),0),"")</f>
        <v/>
      </c>
      <c r="G38" s="7">
        <f>IFERROR(ROUND(AVERAGEIFS(Datos!$G$2:$G$26103,Datos!$E$2:$E$26103,$A38,Datos!$B$2:$B$26103,10,Datos!$C$2:$C$26103,"&gt;=30",Datos!$F$2:$F$26103,"STANDBY"),0),"")</f>
        <v/>
      </c>
      <c r="H38" s="7">
        <f>IFERROR(ROUND(AVERAGEIFS(Datos!$G$2:$G$26103,Datos!$E$2:$E$26103,$A38,Datos!$B$2:$B$26103,11,Datos!$C$2:$C$26103,"&lt;30",Datos!$F$2:$F$26103,"STANDBY"),0),"")</f>
        <v/>
      </c>
      <c r="I38" s="7">
        <f>IFERROR(ROUND(AVERAGEIFS(Datos!$G$2:$G$26103,Datos!$E$2:$E$26103,$A38,Datos!$B$2:$B$26103,11,Datos!$C$2:$C$26103,"&gt;=30",Datos!$F$2:$F$26103,"STANDBY"),0),"")</f>
        <v/>
      </c>
      <c r="J38" s="7">
        <f>IFERROR(ROUND(AVERAGEIFS(Datos!$G$2:$G$26103,Datos!$E$2:$E$26103,$A38,Datos!$B$2:$B$26103,12,Datos!$C$2:$C$26103,"&lt;30",Datos!$F$2:$F$26103,"STANDBY"),0),"")</f>
        <v/>
      </c>
      <c r="K38" s="7">
        <f>IFERROR(ROUND(AVERAGEIFS(Datos!$G$2:$G$26103,Datos!$E$2:$E$26103,$A38,Datos!$B$2:$B$26103,12,Datos!$C$2:$C$26103,"&gt;=30",Datos!$F$2:$F$26103,"STANDBY"),0),"")</f>
        <v/>
      </c>
      <c r="L38" s="7">
        <f>IFERROR(ROUND(AVERAGEIFS(Datos!$G$2:$G$26103,Datos!$E$2:$E$26103,$A38,Datos!$B$2:$B$26103,13,Datos!$C$2:$C$26103,"&lt;30",Datos!$F$2:$F$26103,"STANDBY"),0),"")</f>
        <v/>
      </c>
      <c r="M38" s="7">
        <f>IFERROR(ROUND(AVERAGEIFS(Datos!$G$2:$G$26103,Datos!$E$2:$E$26103,$A38,Datos!$B$2:$B$26103,13,Datos!$C$2:$C$26103,"&gt;=30",Datos!$F$2:$F$26103,"STANDBY"),0),"")</f>
        <v/>
      </c>
      <c r="N38" s="7">
        <f>IFERROR(ROUND(AVERAGEIFS(Datos!$G$2:$G$26103,Datos!$E$2:$E$26103,$A38,Datos!$B$2:$B$26103,14,Datos!$C$2:$C$26103,"&lt;30",Datos!$F$2:$F$26103,"STANDBY"),0),"")</f>
        <v/>
      </c>
      <c r="O38" s="7">
        <f>IFERROR(ROUND(AVERAGEIFS(Datos!$G$2:$G$26103,Datos!$E$2:$E$26103,$A38,Datos!$B$2:$B$26103,14,Datos!$C$2:$C$26103,"&gt;=30",Datos!$F$2:$F$26103,"STANDBY"),0),"")</f>
        <v/>
      </c>
      <c r="P38" s="7">
        <f>IFERROR(ROUND(AVERAGEIFS(Datos!$G$2:$G$26103,Datos!$E$2:$E$26103,$A38,Datos!$B$2:$B$26103,15,Datos!$C$2:$C$26103,"&lt;30",Datos!$F$2:$F$26103,"STANDBY"),0),"")</f>
        <v/>
      </c>
      <c r="Q38" s="7">
        <f>IFERROR(ROUND(AVERAGEIFS(Datos!$G$2:$G$26103,Datos!$E$2:$E$26103,$A38,Datos!$B$2:$B$26103,15,Datos!$C$2:$C$26103,"&gt;=30",Datos!$F$2:$F$26103,"STANDBY"),0),"")</f>
        <v/>
      </c>
      <c r="R38" s="7">
        <f>IFERROR(ROUND(AVERAGEIFS(Datos!$G$2:$G$26103,Datos!$E$2:$E$26103,$A38,Datos!$B$2:$B$26103,16,Datos!$C$2:$C$26103,"&lt;30",Datos!$F$2:$F$26103,"STANDBY"),0),"")</f>
        <v/>
      </c>
      <c r="S38" s="7">
        <f>IFERROR(ROUND(AVERAGEIFS(Datos!$G$2:$G$26103,Datos!$E$2:$E$26103,$A38,Datos!$B$2:$B$26103,16,Datos!$C$2:$C$26103,"&gt;=30",Datos!$F$2:$F$26103,"STANDBY"),0),"")</f>
        <v/>
      </c>
      <c r="T38" s="7">
        <f>IFERROR(ROUND(AVERAGEIFS(Datos!$G$2:$G$26103,Datos!$E$2:$E$26103,$A38,Datos!$B$2:$B$26103,17,Datos!$C$2:$C$26103,"&lt;30",Datos!$F$2:$F$26103,"STANDBY"),0),"")</f>
        <v/>
      </c>
      <c r="U38" s="7">
        <f>IFERROR(ROUND(AVERAGEIFS(Datos!$G$2:$G$26103,Datos!$E$2:$E$26103,$A38,Datos!$B$2:$B$26103,17,Datos!$C$2:$C$26103,"&gt;=30",Datos!$F$2:$F$26103,"STANDBY"),0),"")</f>
        <v/>
      </c>
      <c r="V38" s="7">
        <f>IFERROR(ROUND(AVERAGEIFS(Datos!$G$2:$G$26103,Datos!$E$2:$E$26103,$A38,Datos!$B$2:$B$26103,18,Datos!$C$2:$C$26103,"&lt;30",Datos!$F$2:$F$26103,"STANDBY"),0),"")</f>
        <v/>
      </c>
      <c r="W38" s="7">
        <f>IFERROR(ROUND(AVERAGEIFS(Datos!$G$2:$G$26103,Datos!$E$2:$E$26103,$A38,Datos!$B$2:$B$26103,18,Datos!$C$2:$C$26103,"&gt;=30",Datos!$F$2:$F$26103,"STANDBY"),0),"")</f>
        <v/>
      </c>
      <c r="X38" s="7">
        <f>IFERROR(ROUND(AVERAGEIFS(Datos!$G$2:$G$26103,Datos!$E$2:$E$26103,$A38,Datos!$B$2:$B$26103,19,Datos!$C$2:$C$26103,"&lt;30",Datos!$F$2:$F$26103,"STANDBY"),0),"")</f>
        <v/>
      </c>
      <c r="Y38" s="7">
        <f>IFERROR(ROUND(AVERAGEIFS(Datos!$G$2:$G$26103,Datos!$E$2:$E$26103,$A38,Datos!$B$2:$B$26103,19,Datos!$C$2:$C$26103,"&gt;=30",Datos!$F$2:$F$26103,"STANDBY"),0),"")</f>
        <v/>
      </c>
      <c r="Z38" s="7">
        <f>IFERROR(ROUND(AVERAGEIFS(Datos!$G$2:$G$26103,Datos!$E$2:$E$26103,$A38,Datos!$B$2:$B$26103,20,Datos!$C$2:$C$26103,"&lt;30",Datos!$F$2:$F$26103,"STANDBY"),0),"")</f>
        <v/>
      </c>
      <c r="AA38" s="7">
        <f>IFERROR(ROUND(AVERAGEIFS(Datos!$G$2:$G$26103,Datos!$E$2:$E$26103,$A38,Datos!$B$2:$B$26103,20,Datos!$C$2:$C$26103,"&gt;=30",Datos!$F$2:$F$26103,"STANDBY"),0),"")</f>
        <v/>
      </c>
      <c r="AB38" s="7">
        <f>IFERROR(ROUND(AVERAGEIFS(Datos!$G$2:$G$26103,Datos!$E$2:$E$26103,$A38,Datos!$B$2:$B$26103,21,Datos!$C$2:$C$26103,"&lt;30",Datos!$F$2:$F$26103,"STANDBY"),0),"")</f>
        <v/>
      </c>
      <c r="AC38" s="7">
        <f>IFERROR(ROUND(AVERAGEIFS(Datos!$G$2:$G$26103,Datos!$E$2:$E$26103,$A38,Datos!$B$2:$B$26103,21,Datos!$C$2:$C$26103,"&gt;=30",Datos!$F$2:$F$26103,"STANDBY"),0),"")</f>
        <v/>
      </c>
      <c r="AD38" s="7">
        <f>IFERROR(ROUND(AVERAGEIFS(Datos!$G$2:$G$26103,Datos!$E$2:$E$26103,$A38,Datos!$B$2:$B$26103,22,Datos!$C$2:$C$26103,"&lt;30",Datos!$F$2:$F$26103,"STANDBY"),0),"")</f>
        <v/>
      </c>
      <c r="AE38" s="7">
        <f>IFERROR(ROUND(AVERAGEIFS(Datos!$G$2:$G$26103,Datos!$E$2:$E$26103,$A38,Datos!$B$2:$B$26103,22,Datos!$C$2:$C$26103,"&gt;=30",Datos!$F$2:$F$26103,"STANDBY"),0),"")</f>
        <v/>
      </c>
      <c r="AF38" s="7">
        <f>IFERROR(ROUND(AVERAGEIFS(Datos!$G$2:$G$26103,Datos!$E$2:$E$26103,$A38,Datos!$B$2:$B$26103,23,Datos!$C$2:$C$26103,"&lt;30",Datos!$F$2:$F$26103,"STANDBY"),0),"")</f>
        <v/>
      </c>
      <c r="AG38" s="7">
        <f>IFERROR(ROUND(AVERAGEIFS(Datos!$G$2:$G$26103,Datos!$E$2:$E$26103,$A38,Datos!$B$2:$B$26103,23,Datos!$C$2:$C$26103,"&gt;=30",Datos!$F$2:$F$26103,"STANDBY"),0),"")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IFERROR(ROUND(AVERAGEIFS(Datos!$G$2:$G$26103,Datos!$E$2:$E$26103,$A39,Datos!$B$2:$B$26103,8,Datos!$C$2:$C$26103,"&lt;30",Datos!$F$2:$F$26103,"STANDBY"),0),"")</f>
        <v/>
      </c>
      <c r="C39" s="7">
        <f>IFERROR(ROUND(AVERAGEIFS(Datos!$G$2:$G$26103,Datos!$E$2:$E$26103,$A39,Datos!$B$2:$B$26103,8,Datos!$C$2:$C$26103,"&gt;=30",Datos!$F$2:$F$26103,"STANDBY"),0),"")</f>
        <v/>
      </c>
      <c r="D39" s="7">
        <f>IFERROR(ROUND(AVERAGEIFS(Datos!$G$2:$G$26103,Datos!$E$2:$E$26103,$A39,Datos!$B$2:$B$26103,9,Datos!$C$2:$C$26103,"&lt;30",Datos!$F$2:$F$26103,"STANDBY"),0),"")</f>
        <v/>
      </c>
      <c r="E39" s="7">
        <f>IFERROR(ROUND(AVERAGEIFS(Datos!$G$2:$G$26103,Datos!$E$2:$E$26103,$A39,Datos!$B$2:$B$26103,9,Datos!$C$2:$C$26103,"&gt;=30",Datos!$F$2:$F$26103,"STANDBY"),0),"")</f>
        <v/>
      </c>
      <c r="F39" s="7">
        <f>IFERROR(ROUND(AVERAGEIFS(Datos!$G$2:$G$26103,Datos!$E$2:$E$26103,$A39,Datos!$B$2:$B$26103,10,Datos!$C$2:$C$26103,"&lt;30",Datos!$F$2:$F$26103,"STANDBY"),0),"")</f>
        <v/>
      </c>
      <c r="G39" s="7">
        <f>IFERROR(ROUND(AVERAGEIFS(Datos!$G$2:$G$26103,Datos!$E$2:$E$26103,$A39,Datos!$B$2:$B$26103,10,Datos!$C$2:$C$26103,"&gt;=30",Datos!$F$2:$F$26103,"STANDBY"),0),"")</f>
        <v/>
      </c>
      <c r="H39" s="7">
        <f>IFERROR(ROUND(AVERAGEIFS(Datos!$G$2:$G$26103,Datos!$E$2:$E$26103,$A39,Datos!$B$2:$B$26103,11,Datos!$C$2:$C$26103,"&lt;30",Datos!$F$2:$F$26103,"STANDBY"),0),"")</f>
        <v/>
      </c>
      <c r="I39" s="7">
        <f>IFERROR(ROUND(AVERAGEIFS(Datos!$G$2:$G$26103,Datos!$E$2:$E$26103,$A39,Datos!$B$2:$B$26103,11,Datos!$C$2:$C$26103,"&gt;=30",Datos!$F$2:$F$26103,"STANDBY"),0),"")</f>
        <v/>
      </c>
      <c r="J39" s="7">
        <f>IFERROR(ROUND(AVERAGEIFS(Datos!$G$2:$G$26103,Datos!$E$2:$E$26103,$A39,Datos!$B$2:$B$26103,12,Datos!$C$2:$C$26103,"&lt;30",Datos!$F$2:$F$26103,"STANDBY"),0),"")</f>
        <v/>
      </c>
      <c r="K39" s="7">
        <f>IFERROR(ROUND(AVERAGEIFS(Datos!$G$2:$G$26103,Datos!$E$2:$E$26103,$A39,Datos!$B$2:$B$26103,12,Datos!$C$2:$C$26103,"&gt;=30",Datos!$F$2:$F$26103,"STANDBY"),0),"")</f>
        <v/>
      </c>
      <c r="L39" s="7">
        <f>IFERROR(ROUND(AVERAGEIFS(Datos!$G$2:$G$26103,Datos!$E$2:$E$26103,$A39,Datos!$B$2:$B$26103,13,Datos!$C$2:$C$26103,"&lt;30",Datos!$F$2:$F$26103,"STANDBY"),0),"")</f>
        <v/>
      </c>
      <c r="M39" s="7">
        <f>IFERROR(ROUND(AVERAGEIFS(Datos!$G$2:$G$26103,Datos!$E$2:$E$26103,$A39,Datos!$B$2:$B$26103,13,Datos!$C$2:$C$26103,"&gt;=30",Datos!$F$2:$F$26103,"STANDBY"),0),"")</f>
        <v/>
      </c>
      <c r="N39" s="7">
        <f>IFERROR(ROUND(AVERAGEIFS(Datos!$G$2:$G$26103,Datos!$E$2:$E$26103,$A39,Datos!$B$2:$B$26103,14,Datos!$C$2:$C$26103,"&lt;30",Datos!$F$2:$F$26103,"STANDBY"),0),"")</f>
        <v/>
      </c>
      <c r="O39" s="7">
        <f>IFERROR(ROUND(AVERAGEIFS(Datos!$G$2:$G$26103,Datos!$E$2:$E$26103,$A39,Datos!$B$2:$B$26103,14,Datos!$C$2:$C$26103,"&gt;=30",Datos!$F$2:$F$26103,"STANDBY"),0),"")</f>
        <v/>
      </c>
      <c r="P39" s="7">
        <f>IFERROR(ROUND(AVERAGEIFS(Datos!$G$2:$G$26103,Datos!$E$2:$E$26103,$A39,Datos!$B$2:$B$26103,15,Datos!$C$2:$C$26103,"&lt;30",Datos!$F$2:$F$26103,"STANDBY"),0),"")</f>
        <v/>
      </c>
      <c r="Q39" s="7">
        <f>IFERROR(ROUND(AVERAGEIFS(Datos!$G$2:$G$26103,Datos!$E$2:$E$26103,$A39,Datos!$B$2:$B$26103,15,Datos!$C$2:$C$26103,"&gt;=30",Datos!$F$2:$F$26103,"STANDBY"),0),"")</f>
        <v/>
      </c>
      <c r="R39" s="7">
        <f>IFERROR(ROUND(AVERAGEIFS(Datos!$G$2:$G$26103,Datos!$E$2:$E$26103,$A39,Datos!$B$2:$B$26103,16,Datos!$C$2:$C$26103,"&lt;30",Datos!$F$2:$F$26103,"STANDBY"),0),"")</f>
        <v/>
      </c>
      <c r="S39" s="7">
        <f>IFERROR(ROUND(AVERAGEIFS(Datos!$G$2:$G$26103,Datos!$E$2:$E$26103,$A39,Datos!$B$2:$B$26103,16,Datos!$C$2:$C$26103,"&gt;=30",Datos!$F$2:$F$26103,"STANDBY"),0),"")</f>
        <v/>
      </c>
      <c r="T39" s="7">
        <f>IFERROR(ROUND(AVERAGEIFS(Datos!$G$2:$G$26103,Datos!$E$2:$E$26103,$A39,Datos!$B$2:$B$26103,17,Datos!$C$2:$C$26103,"&lt;30",Datos!$F$2:$F$26103,"STANDBY"),0),"")</f>
        <v/>
      </c>
      <c r="U39" s="7">
        <f>IFERROR(ROUND(AVERAGEIFS(Datos!$G$2:$G$26103,Datos!$E$2:$E$26103,$A39,Datos!$B$2:$B$26103,17,Datos!$C$2:$C$26103,"&gt;=30",Datos!$F$2:$F$26103,"STANDBY"),0),"")</f>
        <v/>
      </c>
      <c r="V39" s="7">
        <f>IFERROR(ROUND(AVERAGEIFS(Datos!$G$2:$G$26103,Datos!$E$2:$E$26103,$A39,Datos!$B$2:$B$26103,18,Datos!$C$2:$C$26103,"&lt;30",Datos!$F$2:$F$26103,"STANDBY"),0),"")</f>
        <v/>
      </c>
      <c r="W39" s="7">
        <f>IFERROR(ROUND(AVERAGEIFS(Datos!$G$2:$G$26103,Datos!$E$2:$E$26103,$A39,Datos!$B$2:$B$26103,18,Datos!$C$2:$C$26103,"&gt;=30",Datos!$F$2:$F$26103,"STANDBY"),0),"")</f>
        <v/>
      </c>
      <c r="X39" s="7">
        <f>IFERROR(ROUND(AVERAGEIFS(Datos!$G$2:$G$26103,Datos!$E$2:$E$26103,$A39,Datos!$B$2:$B$26103,19,Datos!$C$2:$C$26103,"&lt;30",Datos!$F$2:$F$26103,"STANDBY"),0),"")</f>
        <v/>
      </c>
      <c r="Y39" s="7">
        <f>IFERROR(ROUND(AVERAGEIFS(Datos!$G$2:$G$26103,Datos!$E$2:$E$26103,$A39,Datos!$B$2:$B$26103,19,Datos!$C$2:$C$26103,"&gt;=30",Datos!$F$2:$F$26103,"STANDBY"),0),"")</f>
        <v/>
      </c>
      <c r="Z39" s="7">
        <f>IFERROR(ROUND(AVERAGEIFS(Datos!$G$2:$G$26103,Datos!$E$2:$E$26103,$A39,Datos!$B$2:$B$26103,20,Datos!$C$2:$C$26103,"&lt;30",Datos!$F$2:$F$26103,"STANDBY"),0),"")</f>
        <v/>
      </c>
      <c r="AA39" s="7">
        <f>IFERROR(ROUND(AVERAGEIFS(Datos!$G$2:$G$26103,Datos!$E$2:$E$26103,$A39,Datos!$B$2:$B$26103,20,Datos!$C$2:$C$26103,"&gt;=30",Datos!$F$2:$F$26103,"STANDBY"),0),"")</f>
        <v/>
      </c>
      <c r="AB39" s="7">
        <f>IFERROR(ROUND(AVERAGEIFS(Datos!$G$2:$G$26103,Datos!$E$2:$E$26103,$A39,Datos!$B$2:$B$26103,21,Datos!$C$2:$C$26103,"&lt;30",Datos!$F$2:$F$26103,"STANDBY"),0),"")</f>
        <v/>
      </c>
      <c r="AC39" s="7">
        <f>IFERROR(ROUND(AVERAGEIFS(Datos!$G$2:$G$26103,Datos!$E$2:$E$26103,$A39,Datos!$B$2:$B$26103,21,Datos!$C$2:$C$26103,"&gt;=30",Datos!$F$2:$F$26103,"STANDBY"),0),"")</f>
        <v/>
      </c>
      <c r="AD39" s="7">
        <f>IFERROR(ROUND(AVERAGEIFS(Datos!$G$2:$G$26103,Datos!$E$2:$E$26103,$A39,Datos!$B$2:$B$26103,22,Datos!$C$2:$C$26103,"&lt;30",Datos!$F$2:$F$26103,"STANDBY"),0),"")</f>
        <v/>
      </c>
      <c r="AE39" s="7">
        <f>IFERROR(ROUND(AVERAGEIFS(Datos!$G$2:$G$26103,Datos!$E$2:$E$26103,$A39,Datos!$B$2:$B$26103,22,Datos!$C$2:$C$26103,"&gt;=30",Datos!$F$2:$F$26103,"STANDBY"),0),"")</f>
        <v/>
      </c>
      <c r="AF39" s="7">
        <f>IFERROR(ROUND(AVERAGEIFS(Datos!$G$2:$G$26103,Datos!$E$2:$E$26103,$A39,Datos!$B$2:$B$26103,23,Datos!$C$2:$C$26103,"&lt;30",Datos!$F$2:$F$26103,"STANDBY"),0),"")</f>
        <v/>
      </c>
      <c r="AG39" s="7">
        <f>IFERROR(ROUND(AVERAGEIFS(Datos!$G$2:$G$26103,Datos!$E$2:$E$26103,$A39,Datos!$B$2:$B$26103,23,Datos!$C$2:$C$26103,"&gt;=30",Datos!$F$2:$F$26103,"STANDBY"),0),"")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IFERROR(ROUND(AVERAGEIFS(Datos!$G$2:$G$26103,Datos!$E$2:$E$26103,$A40,Datos!$B$2:$B$26103,8,Datos!$C$2:$C$26103,"&lt;30",Datos!$F$2:$F$26103,"STANDBY"),0),"")</f>
        <v/>
      </c>
      <c r="C40" s="7">
        <f>IFERROR(ROUND(AVERAGEIFS(Datos!$G$2:$G$26103,Datos!$E$2:$E$26103,$A40,Datos!$B$2:$B$26103,8,Datos!$C$2:$C$26103,"&gt;=30",Datos!$F$2:$F$26103,"STANDBY"),0),"")</f>
        <v/>
      </c>
      <c r="D40" s="7">
        <f>IFERROR(ROUND(AVERAGEIFS(Datos!$G$2:$G$26103,Datos!$E$2:$E$26103,$A40,Datos!$B$2:$B$26103,9,Datos!$C$2:$C$26103,"&lt;30",Datos!$F$2:$F$26103,"STANDBY"),0),"")</f>
        <v/>
      </c>
      <c r="E40" s="7">
        <f>IFERROR(ROUND(AVERAGEIFS(Datos!$G$2:$G$26103,Datos!$E$2:$E$26103,$A40,Datos!$B$2:$B$26103,9,Datos!$C$2:$C$26103,"&gt;=30",Datos!$F$2:$F$26103,"STANDBY"),0),"")</f>
        <v/>
      </c>
      <c r="F40" s="7">
        <f>IFERROR(ROUND(AVERAGEIFS(Datos!$G$2:$G$26103,Datos!$E$2:$E$26103,$A40,Datos!$B$2:$B$26103,10,Datos!$C$2:$C$26103,"&lt;30",Datos!$F$2:$F$26103,"STANDBY"),0),"")</f>
        <v/>
      </c>
      <c r="G40" s="7">
        <f>IFERROR(ROUND(AVERAGEIFS(Datos!$G$2:$G$26103,Datos!$E$2:$E$26103,$A40,Datos!$B$2:$B$26103,10,Datos!$C$2:$C$26103,"&gt;=30",Datos!$F$2:$F$26103,"STANDBY"),0),"")</f>
        <v/>
      </c>
      <c r="H40" s="7">
        <f>IFERROR(ROUND(AVERAGEIFS(Datos!$G$2:$G$26103,Datos!$E$2:$E$26103,$A40,Datos!$B$2:$B$26103,11,Datos!$C$2:$C$26103,"&lt;30",Datos!$F$2:$F$26103,"STANDBY"),0),"")</f>
        <v/>
      </c>
      <c r="I40" s="7">
        <f>IFERROR(ROUND(AVERAGEIFS(Datos!$G$2:$G$26103,Datos!$E$2:$E$26103,$A40,Datos!$B$2:$B$26103,11,Datos!$C$2:$C$26103,"&gt;=30",Datos!$F$2:$F$26103,"STANDBY"),0),"")</f>
        <v/>
      </c>
      <c r="J40" s="7">
        <f>IFERROR(ROUND(AVERAGEIFS(Datos!$G$2:$G$26103,Datos!$E$2:$E$26103,$A40,Datos!$B$2:$B$26103,12,Datos!$C$2:$C$26103,"&lt;30",Datos!$F$2:$F$26103,"STANDBY"),0),"")</f>
        <v/>
      </c>
      <c r="K40" s="7">
        <f>IFERROR(ROUND(AVERAGEIFS(Datos!$G$2:$G$26103,Datos!$E$2:$E$26103,$A40,Datos!$B$2:$B$26103,12,Datos!$C$2:$C$26103,"&gt;=30",Datos!$F$2:$F$26103,"STANDBY"),0),"")</f>
        <v/>
      </c>
      <c r="L40" s="7">
        <f>IFERROR(ROUND(AVERAGEIFS(Datos!$G$2:$G$26103,Datos!$E$2:$E$26103,$A40,Datos!$B$2:$B$26103,13,Datos!$C$2:$C$26103,"&lt;30",Datos!$F$2:$F$26103,"STANDBY"),0),"")</f>
        <v/>
      </c>
      <c r="M40" s="7">
        <f>IFERROR(ROUND(AVERAGEIFS(Datos!$G$2:$G$26103,Datos!$E$2:$E$26103,$A40,Datos!$B$2:$B$26103,13,Datos!$C$2:$C$26103,"&gt;=30",Datos!$F$2:$F$26103,"STANDBY"),0),"")</f>
        <v/>
      </c>
      <c r="N40" s="7">
        <f>IFERROR(ROUND(AVERAGEIFS(Datos!$G$2:$G$26103,Datos!$E$2:$E$26103,$A40,Datos!$B$2:$B$26103,14,Datos!$C$2:$C$26103,"&lt;30",Datos!$F$2:$F$26103,"STANDBY"),0),"")</f>
        <v/>
      </c>
      <c r="O40" s="7">
        <f>IFERROR(ROUND(AVERAGEIFS(Datos!$G$2:$G$26103,Datos!$E$2:$E$26103,$A40,Datos!$B$2:$B$26103,14,Datos!$C$2:$C$26103,"&gt;=30",Datos!$F$2:$F$26103,"STANDBY"),0),"")</f>
        <v/>
      </c>
      <c r="P40" s="7">
        <f>IFERROR(ROUND(AVERAGEIFS(Datos!$G$2:$G$26103,Datos!$E$2:$E$26103,$A40,Datos!$B$2:$B$26103,15,Datos!$C$2:$C$26103,"&lt;30",Datos!$F$2:$F$26103,"STANDBY"),0),"")</f>
        <v/>
      </c>
      <c r="Q40" s="7">
        <f>IFERROR(ROUND(AVERAGEIFS(Datos!$G$2:$G$26103,Datos!$E$2:$E$26103,$A40,Datos!$B$2:$B$26103,15,Datos!$C$2:$C$26103,"&gt;=30",Datos!$F$2:$F$26103,"STANDBY"),0),"")</f>
        <v/>
      </c>
      <c r="R40" s="7">
        <f>IFERROR(ROUND(AVERAGEIFS(Datos!$G$2:$G$26103,Datos!$E$2:$E$26103,$A40,Datos!$B$2:$B$26103,16,Datos!$C$2:$C$26103,"&lt;30",Datos!$F$2:$F$26103,"STANDBY"),0),"")</f>
        <v/>
      </c>
      <c r="S40" s="7">
        <f>IFERROR(ROUND(AVERAGEIFS(Datos!$G$2:$G$26103,Datos!$E$2:$E$26103,$A40,Datos!$B$2:$B$26103,16,Datos!$C$2:$C$26103,"&gt;=30",Datos!$F$2:$F$26103,"STANDBY"),0),"")</f>
        <v/>
      </c>
      <c r="T40" s="7">
        <f>IFERROR(ROUND(AVERAGEIFS(Datos!$G$2:$G$26103,Datos!$E$2:$E$26103,$A40,Datos!$B$2:$B$26103,17,Datos!$C$2:$C$26103,"&lt;30",Datos!$F$2:$F$26103,"STANDBY"),0),"")</f>
        <v/>
      </c>
      <c r="U40" s="7">
        <f>IFERROR(ROUND(AVERAGEIFS(Datos!$G$2:$G$26103,Datos!$E$2:$E$26103,$A40,Datos!$B$2:$B$26103,17,Datos!$C$2:$C$26103,"&gt;=30",Datos!$F$2:$F$26103,"STANDBY"),0),"")</f>
        <v/>
      </c>
      <c r="V40" s="7">
        <f>IFERROR(ROUND(AVERAGEIFS(Datos!$G$2:$G$26103,Datos!$E$2:$E$26103,$A40,Datos!$B$2:$B$26103,18,Datos!$C$2:$C$26103,"&lt;30",Datos!$F$2:$F$26103,"STANDBY"),0),"")</f>
        <v/>
      </c>
      <c r="W40" s="7">
        <f>IFERROR(ROUND(AVERAGEIFS(Datos!$G$2:$G$26103,Datos!$E$2:$E$26103,$A40,Datos!$B$2:$B$26103,18,Datos!$C$2:$C$26103,"&gt;=30",Datos!$F$2:$F$26103,"STANDBY"),0),"")</f>
        <v/>
      </c>
      <c r="X40" s="7">
        <f>IFERROR(ROUND(AVERAGEIFS(Datos!$G$2:$G$26103,Datos!$E$2:$E$26103,$A40,Datos!$B$2:$B$26103,19,Datos!$C$2:$C$26103,"&lt;30",Datos!$F$2:$F$26103,"STANDBY"),0),"")</f>
        <v/>
      </c>
      <c r="Y40" s="7">
        <f>IFERROR(ROUND(AVERAGEIFS(Datos!$G$2:$G$26103,Datos!$E$2:$E$26103,$A40,Datos!$B$2:$B$26103,19,Datos!$C$2:$C$26103,"&gt;=30",Datos!$F$2:$F$26103,"STANDBY"),0),"")</f>
        <v/>
      </c>
      <c r="Z40" s="7">
        <f>IFERROR(ROUND(AVERAGEIFS(Datos!$G$2:$G$26103,Datos!$E$2:$E$26103,$A40,Datos!$B$2:$B$26103,20,Datos!$C$2:$C$26103,"&lt;30",Datos!$F$2:$F$26103,"STANDBY"),0),"")</f>
        <v/>
      </c>
      <c r="AA40" s="7">
        <f>IFERROR(ROUND(AVERAGEIFS(Datos!$G$2:$G$26103,Datos!$E$2:$E$26103,$A40,Datos!$B$2:$B$26103,20,Datos!$C$2:$C$26103,"&gt;=30",Datos!$F$2:$F$26103,"STANDBY"),0),"")</f>
        <v/>
      </c>
      <c r="AB40" s="7">
        <f>IFERROR(ROUND(AVERAGEIFS(Datos!$G$2:$G$26103,Datos!$E$2:$E$26103,$A40,Datos!$B$2:$B$26103,21,Datos!$C$2:$C$26103,"&lt;30",Datos!$F$2:$F$26103,"STANDBY"),0),"")</f>
        <v/>
      </c>
      <c r="AC40" s="7">
        <f>IFERROR(ROUND(AVERAGEIFS(Datos!$G$2:$G$26103,Datos!$E$2:$E$26103,$A40,Datos!$B$2:$B$26103,21,Datos!$C$2:$C$26103,"&gt;=30",Datos!$F$2:$F$26103,"STANDBY"),0),"")</f>
        <v/>
      </c>
      <c r="AD40" s="7">
        <f>IFERROR(ROUND(AVERAGEIFS(Datos!$G$2:$G$26103,Datos!$E$2:$E$26103,$A40,Datos!$B$2:$B$26103,22,Datos!$C$2:$C$26103,"&lt;30",Datos!$F$2:$F$26103,"STANDBY"),0),"")</f>
        <v/>
      </c>
      <c r="AE40" s="7">
        <f>IFERROR(ROUND(AVERAGEIFS(Datos!$G$2:$G$26103,Datos!$E$2:$E$26103,$A40,Datos!$B$2:$B$26103,22,Datos!$C$2:$C$26103,"&gt;=30",Datos!$F$2:$F$26103,"STANDBY"),0),"")</f>
        <v/>
      </c>
      <c r="AF40" s="7">
        <f>IFERROR(ROUND(AVERAGEIFS(Datos!$G$2:$G$26103,Datos!$E$2:$E$26103,$A40,Datos!$B$2:$B$26103,23,Datos!$C$2:$C$26103,"&lt;30",Datos!$F$2:$F$26103,"STANDBY"),0),"")</f>
        <v/>
      </c>
      <c r="AG40" s="7">
        <f>IFERROR(ROUND(AVERAGEIFS(Datos!$G$2:$G$26103,Datos!$E$2:$E$26103,$A40,Datos!$B$2:$B$26103,23,Datos!$C$2:$C$26103,"&gt;=30",Datos!$F$2:$F$26103,"STANDBY"),0),"")</f>
        <v/>
      </c>
    </row>
    <row r="41">
      <c r="A41" s="6" t="inlineStr">
        <is>
          <t>La Cabane des Robinson</t>
        </is>
      </c>
      <c r="B41" s="7">
        <f>IFERROR(ROUND(AVERAGEIFS(Datos!$G$2:$G$26103,Datos!$E$2:$E$26103,$A41,Datos!$B$2:$B$26103,8,Datos!$C$2:$C$26103,"&lt;30",Datos!$F$2:$F$26103,"STANDBY"),0),"")</f>
        <v/>
      </c>
      <c r="C41" s="7">
        <f>IFERROR(ROUND(AVERAGEIFS(Datos!$G$2:$G$26103,Datos!$E$2:$E$26103,$A41,Datos!$B$2:$B$26103,8,Datos!$C$2:$C$26103,"&gt;=30",Datos!$F$2:$F$26103,"STANDBY"),0),"")</f>
        <v/>
      </c>
      <c r="D41" s="7">
        <f>IFERROR(ROUND(AVERAGEIFS(Datos!$G$2:$G$26103,Datos!$E$2:$E$26103,$A41,Datos!$B$2:$B$26103,9,Datos!$C$2:$C$26103,"&lt;30",Datos!$F$2:$F$26103,"STANDBY"),0),"")</f>
        <v/>
      </c>
      <c r="E41" s="7">
        <f>IFERROR(ROUND(AVERAGEIFS(Datos!$G$2:$G$26103,Datos!$E$2:$E$26103,$A41,Datos!$B$2:$B$26103,9,Datos!$C$2:$C$26103,"&gt;=30",Datos!$F$2:$F$26103,"STANDBY"),0),"")</f>
        <v/>
      </c>
      <c r="F41" s="7">
        <f>IFERROR(ROUND(AVERAGEIFS(Datos!$G$2:$G$26103,Datos!$E$2:$E$26103,$A41,Datos!$B$2:$B$26103,10,Datos!$C$2:$C$26103,"&lt;30",Datos!$F$2:$F$26103,"STANDBY"),0),"")</f>
        <v/>
      </c>
      <c r="G41" s="7">
        <f>IFERROR(ROUND(AVERAGEIFS(Datos!$G$2:$G$26103,Datos!$E$2:$E$26103,$A41,Datos!$B$2:$B$26103,10,Datos!$C$2:$C$26103,"&gt;=30",Datos!$F$2:$F$26103,"STANDBY"),0),"")</f>
        <v/>
      </c>
      <c r="H41" s="7">
        <f>IFERROR(ROUND(AVERAGEIFS(Datos!$G$2:$G$26103,Datos!$E$2:$E$26103,$A41,Datos!$B$2:$B$26103,11,Datos!$C$2:$C$26103,"&lt;30",Datos!$F$2:$F$26103,"STANDBY"),0),"")</f>
        <v/>
      </c>
      <c r="I41" s="7">
        <f>IFERROR(ROUND(AVERAGEIFS(Datos!$G$2:$G$26103,Datos!$E$2:$E$26103,$A41,Datos!$B$2:$B$26103,11,Datos!$C$2:$C$26103,"&gt;=30",Datos!$F$2:$F$26103,"STANDBY"),0),"")</f>
        <v/>
      </c>
      <c r="J41" s="7">
        <f>IFERROR(ROUND(AVERAGEIFS(Datos!$G$2:$G$26103,Datos!$E$2:$E$26103,$A41,Datos!$B$2:$B$26103,12,Datos!$C$2:$C$26103,"&lt;30",Datos!$F$2:$F$26103,"STANDBY"),0),"")</f>
        <v/>
      </c>
      <c r="K41" s="7">
        <f>IFERROR(ROUND(AVERAGEIFS(Datos!$G$2:$G$26103,Datos!$E$2:$E$26103,$A41,Datos!$B$2:$B$26103,12,Datos!$C$2:$C$26103,"&gt;=30",Datos!$F$2:$F$26103,"STANDBY"),0),"")</f>
        <v/>
      </c>
      <c r="L41" s="7">
        <f>IFERROR(ROUND(AVERAGEIFS(Datos!$G$2:$G$26103,Datos!$E$2:$E$26103,$A41,Datos!$B$2:$B$26103,13,Datos!$C$2:$C$26103,"&lt;30",Datos!$F$2:$F$26103,"STANDBY"),0),"")</f>
        <v/>
      </c>
      <c r="M41" s="7">
        <f>IFERROR(ROUND(AVERAGEIFS(Datos!$G$2:$G$26103,Datos!$E$2:$E$26103,$A41,Datos!$B$2:$B$26103,13,Datos!$C$2:$C$26103,"&gt;=30",Datos!$F$2:$F$26103,"STANDBY"),0),"")</f>
        <v/>
      </c>
      <c r="N41" s="7">
        <f>IFERROR(ROUND(AVERAGEIFS(Datos!$G$2:$G$26103,Datos!$E$2:$E$26103,$A41,Datos!$B$2:$B$26103,14,Datos!$C$2:$C$26103,"&lt;30",Datos!$F$2:$F$26103,"STANDBY"),0),"")</f>
        <v/>
      </c>
      <c r="O41" s="7">
        <f>IFERROR(ROUND(AVERAGEIFS(Datos!$G$2:$G$26103,Datos!$E$2:$E$26103,$A41,Datos!$B$2:$B$26103,14,Datos!$C$2:$C$26103,"&gt;=30",Datos!$F$2:$F$26103,"STANDBY"),0),"")</f>
        <v/>
      </c>
      <c r="P41" s="7">
        <f>IFERROR(ROUND(AVERAGEIFS(Datos!$G$2:$G$26103,Datos!$E$2:$E$26103,$A41,Datos!$B$2:$B$26103,15,Datos!$C$2:$C$26103,"&lt;30",Datos!$F$2:$F$26103,"STANDBY"),0),"")</f>
        <v/>
      </c>
      <c r="Q41" s="7">
        <f>IFERROR(ROUND(AVERAGEIFS(Datos!$G$2:$G$26103,Datos!$E$2:$E$26103,$A41,Datos!$B$2:$B$26103,15,Datos!$C$2:$C$26103,"&gt;=30",Datos!$F$2:$F$26103,"STANDBY"),0),"")</f>
        <v/>
      </c>
      <c r="R41" s="7">
        <f>IFERROR(ROUND(AVERAGEIFS(Datos!$G$2:$G$26103,Datos!$E$2:$E$26103,$A41,Datos!$B$2:$B$26103,16,Datos!$C$2:$C$26103,"&lt;30",Datos!$F$2:$F$26103,"STANDBY"),0),"")</f>
        <v/>
      </c>
      <c r="S41" s="7">
        <f>IFERROR(ROUND(AVERAGEIFS(Datos!$G$2:$G$26103,Datos!$E$2:$E$26103,$A41,Datos!$B$2:$B$26103,16,Datos!$C$2:$C$26103,"&gt;=30",Datos!$F$2:$F$26103,"STANDBY"),0),"")</f>
        <v/>
      </c>
      <c r="T41" s="7">
        <f>IFERROR(ROUND(AVERAGEIFS(Datos!$G$2:$G$26103,Datos!$E$2:$E$26103,$A41,Datos!$B$2:$B$26103,17,Datos!$C$2:$C$26103,"&lt;30",Datos!$F$2:$F$26103,"STANDBY"),0),"")</f>
        <v/>
      </c>
      <c r="U41" s="7">
        <f>IFERROR(ROUND(AVERAGEIFS(Datos!$G$2:$G$26103,Datos!$E$2:$E$26103,$A41,Datos!$B$2:$B$26103,17,Datos!$C$2:$C$26103,"&gt;=30",Datos!$F$2:$F$26103,"STANDBY"),0),"")</f>
        <v/>
      </c>
      <c r="V41" s="7">
        <f>IFERROR(ROUND(AVERAGEIFS(Datos!$G$2:$G$26103,Datos!$E$2:$E$26103,$A41,Datos!$B$2:$B$26103,18,Datos!$C$2:$C$26103,"&lt;30",Datos!$F$2:$F$26103,"STANDBY"),0),"")</f>
        <v/>
      </c>
      <c r="W41" s="7">
        <f>IFERROR(ROUND(AVERAGEIFS(Datos!$G$2:$G$26103,Datos!$E$2:$E$26103,$A41,Datos!$B$2:$B$26103,18,Datos!$C$2:$C$26103,"&gt;=30",Datos!$F$2:$F$26103,"STANDBY"),0),"")</f>
        <v/>
      </c>
      <c r="X41" s="7">
        <f>IFERROR(ROUND(AVERAGEIFS(Datos!$G$2:$G$26103,Datos!$E$2:$E$26103,$A41,Datos!$B$2:$B$26103,19,Datos!$C$2:$C$26103,"&lt;30",Datos!$F$2:$F$26103,"STANDBY"),0),"")</f>
        <v/>
      </c>
      <c r="Y41" s="7">
        <f>IFERROR(ROUND(AVERAGEIFS(Datos!$G$2:$G$26103,Datos!$E$2:$E$26103,$A41,Datos!$B$2:$B$26103,19,Datos!$C$2:$C$26103,"&gt;=30",Datos!$F$2:$F$26103,"STANDBY"),0),"")</f>
        <v/>
      </c>
      <c r="Z41" s="7">
        <f>IFERROR(ROUND(AVERAGEIFS(Datos!$G$2:$G$26103,Datos!$E$2:$E$26103,$A41,Datos!$B$2:$B$26103,20,Datos!$C$2:$C$26103,"&lt;30",Datos!$F$2:$F$26103,"STANDBY"),0),"")</f>
        <v/>
      </c>
      <c r="AA41" s="7">
        <f>IFERROR(ROUND(AVERAGEIFS(Datos!$G$2:$G$26103,Datos!$E$2:$E$26103,$A41,Datos!$B$2:$B$26103,20,Datos!$C$2:$C$26103,"&gt;=30",Datos!$F$2:$F$26103,"STANDBY"),0),"")</f>
        <v/>
      </c>
      <c r="AB41" s="7">
        <f>IFERROR(ROUND(AVERAGEIFS(Datos!$G$2:$G$26103,Datos!$E$2:$E$26103,$A41,Datos!$B$2:$B$26103,21,Datos!$C$2:$C$26103,"&lt;30",Datos!$F$2:$F$26103,"STANDBY"),0),"")</f>
        <v/>
      </c>
      <c r="AC41" s="7">
        <f>IFERROR(ROUND(AVERAGEIFS(Datos!$G$2:$G$26103,Datos!$E$2:$E$26103,$A41,Datos!$B$2:$B$26103,21,Datos!$C$2:$C$26103,"&gt;=30",Datos!$F$2:$F$26103,"STANDBY"),0),"")</f>
        <v/>
      </c>
      <c r="AD41" s="7">
        <f>IFERROR(ROUND(AVERAGEIFS(Datos!$G$2:$G$26103,Datos!$E$2:$E$26103,$A41,Datos!$B$2:$B$26103,22,Datos!$C$2:$C$26103,"&lt;30",Datos!$F$2:$F$26103,"STANDBY"),0),"")</f>
        <v/>
      </c>
      <c r="AE41" s="7">
        <f>IFERROR(ROUND(AVERAGEIFS(Datos!$G$2:$G$26103,Datos!$E$2:$E$26103,$A41,Datos!$B$2:$B$26103,22,Datos!$C$2:$C$26103,"&gt;=30",Datos!$F$2:$F$26103,"STANDBY"),0),"")</f>
        <v/>
      </c>
      <c r="AF41" s="7">
        <f>IFERROR(ROUND(AVERAGEIFS(Datos!$G$2:$G$26103,Datos!$E$2:$E$26103,$A41,Datos!$B$2:$B$26103,23,Datos!$C$2:$C$26103,"&lt;30",Datos!$F$2:$F$26103,"STANDBY"),0),"")</f>
        <v/>
      </c>
      <c r="AG41" s="7">
        <f>IFERROR(ROUND(AVERAGEIFS(Datos!$G$2:$G$26103,Datos!$E$2:$E$26103,$A41,Datos!$B$2:$B$26103,23,Datos!$C$2:$C$26103,"&gt;=30",Datos!$F$2:$F$26103,"STANDBY"),0),"")</f>
        <v/>
      </c>
    </row>
    <row r="42">
      <c r="A42" s="6" t="inlineStr">
        <is>
          <t>La Tanière du Dragon</t>
        </is>
      </c>
      <c r="B42" s="7">
        <f>IFERROR(ROUND(AVERAGEIFS(Datos!$G$2:$G$26103,Datos!$E$2:$E$26103,$A42,Datos!$B$2:$B$26103,8,Datos!$C$2:$C$26103,"&lt;30",Datos!$F$2:$F$26103,"STANDBY"),0),"")</f>
        <v/>
      </c>
      <c r="C42" s="7">
        <f>IFERROR(ROUND(AVERAGEIFS(Datos!$G$2:$G$26103,Datos!$E$2:$E$26103,$A42,Datos!$B$2:$B$26103,8,Datos!$C$2:$C$26103,"&gt;=30",Datos!$F$2:$F$26103,"STANDBY"),0),"")</f>
        <v/>
      </c>
      <c r="D42" s="7">
        <f>IFERROR(ROUND(AVERAGEIFS(Datos!$G$2:$G$26103,Datos!$E$2:$E$26103,$A42,Datos!$B$2:$B$26103,9,Datos!$C$2:$C$26103,"&lt;30",Datos!$F$2:$F$26103,"STANDBY"),0),"")</f>
        <v/>
      </c>
      <c r="E42" s="7">
        <f>IFERROR(ROUND(AVERAGEIFS(Datos!$G$2:$G$26103,Datos!$E$2:$E$26103,$A42,Datos!$B$2:$B$26103,9,Datos!$C$2:$C$26103,"&gt;=30",Datos!$F$2:$F$26103,"STANDBY"),0),"")</f>
        <v/>
      </c>
      <c r="F42" s="7">
        <f>IFERROR(ROUND(AVERAGEIFS(Datos!$G$2:$G$26103,Datos!$E$2:$E$26103,$A42,Datos!$B$2:$B$26103,10,Datos!$C$2:$C$26103,"&lt;30",Datos!$F$2:$F$26103,"STANDBY"),0),"")</f>
        <v/>
      </c>
      <c r="G42" s="7">
        <f>IFERROR(ROUND(AVERAGEIFS(Datos!$G$2:$G$26103,Datos!$E$2:$E$26103,$A42,Datos!$B$2:$B$26103,10,Datos!$C$2:$C$26103,"&gt;=30",Datos!$F$2:$F$26103,"STANDBY"),0),"")</f>
        <v/>
      </c>
      <c r="H42" s="7">
        <f>IFERROR(ROUND(AVERAGEIFS(Datos!$G$2:$G$26103,Datos!$E$2:$E$26103,$A42,Datos!$B$2:$B$26103,11,Datos!$C$2:$C$26103,"&lt;30",Datos!$F$2:$F$26103,"STANDBY"),0),"")</f>
        <v/>
      </c>
      <c r="I42" s="7">
        <f>IFERROR(ROUND(AVERAGEIFS(Datos!$G$2:$G$26103,Datos!$E$2:$E$26103,$A42,Datos!$B$2:$B$26103,11,Datos!$C$2:$C$26103,"&gt;=30",Datos!$F$2:$F$26103,"STANDBY"),0),"")</f>
        <v/>
      </c>
      <c r="J42" s="7">
        <f>IFERROR(ROUND(AVERAGEIFS(Datos!$G$2:$G$26103,Datos!$E$2:$E$26103,$A42,Datos!$B$2:$B$26103,12,Datos!$C$2:$C$26103,"&lt;30",Datos!$F$2:$F$26103,"STANDBY"),0),"")</f>
        <v/>
      </c>
      <c r="K42" s="7">
        <f>IFERROR(ROUND(AVERAGEIFS(Datos!$G$2:$G$26103,Datos!$E$2:$E$26103,$A42,Datos!$B$2:$B$26103,12,Datos!$C$2:$C$26103,"&gt;=30",Datos!$F$2:$F$26103,"STANDBY"),0),"")</f>
        <v/>
      </c>
      <c r="L42" s="7">
        <f>IFERROR(ROUND(AVERAGEIFS(Datos!$G$2:$G$26103,Datos!$E$2:$E$26103,$A42,Datos!$B$2:$B$26103,13,Datos!$C$2:$C$26103,"&lt;30",Datos!$F$2:$F$26103,"STANDBY"),0),"")</f>
        <v/>
      </c>
      <c r="M42" s="7">
        <f>IFERROR(ROUND(AVERAGEIFS(Datos!$G$2:$G$26103,Datos!$E$2:$E$26103,$A42,Datos!$B$2:$B$26103,13,Datos!$C$2:$C$26103,"&gt;=30",Datos!$F$2:$F$26103,"STANDBY"),0),"")</f>
        <v/>
      </c>
      <c r="N42" s="7">
        <f>IFERROR(ROUND(AVERAGEIFS(Datos!$G$2:$G$26103,Datos!$E$2:$E$26103,$A42,Datos!$B$2:$B$26103,14,Datos!$C$2:$C$26103,"&lt;30",Datos!$F$2:$F$26103,"STANDBY"),0),"")</f>
        <v/>
      </c>
      <c r="O42" s="7">
        <f>IFERROR(ROUND(AVERAGEIFS(Datos!$G$2:$G$26103,Datos!$E$2:$E$26103,$A42,Datos!$B$2:$B$26103,14,Datos!$C$2:$C$26103,"&gt;=30",Datos!$F$2:$F$26103,"STANDBY"),0),"")</f>
        <v/>
      </c>
      <c r="P42" s="7">
        <f>IFERROR(ROUND(AVERAGEIFS(Datos!$G$2:$G$26103,Datos!$E$2:$E$26103,$A42,Datos!$B$2:$B$26103,15,Datos!$C$2:$C$26103,"&lt;30",Datos!$F$2:$F$26103,"STANDBY"),0),"")</f>
        <v/>
      </c>
      <c r="Q42" s="7">
        <f>IFERROR(ROUND(AVERAGEIFS(Datos!$G$2:$G$26103,Datos!$E$2:$E$26103,$A42,Datos!$B$2:$B$26103,15,Datos!$C$2:$C$26103,"&gt;=30",Datos!$F$2:$F$26103,"STANDBY"),0),"")</f>
        <v/>
      </c>
      <c r="R42" s="7">
        <f>IFERROR(ROUND(AVERAGEIFS(Datos!$G$2:$G$26103,Datos!$E$2:$E$26103,$A42,Datos!$B$2:$B$26103,16,Datos!$C$2:$C$26103,"&lt;30",Datos!$F$2:$F$26103,"STANDBY"),0),"")</f>
        <v/>
      </c>
      <c r="S42" s="7">
        <f>IFERROR(ROUND(AVERAGEIFS(Datos!$G$2:$G$26103,Datos!$E$2:$E$26103,$A42,Datos!$B$2:$B$26103,16,Datos!$C$2:$C$26103,"&gt;=30",Datos!$F$2:$F$26103,"STANDBY"),0),"")</f>
        <v/>
      </c>
      <c r="T42" s="7">
        <f>IFERROR(ROUND(AVERAGEIFS(Datos!$G$2:$G$26103,Datos!$E$2:$E$26103,$A42,Datos!$B$2:$B$26103,17,Datos!$C$2:$C$26103,"&lt;30",Datos!$F$2:$F$26103,"STANDBY"),0),"")</f>
        <v/>
      </c>
      <c r="U42" s="7">
        <f>IFERROR(ROUND(AVERAGEIFS(Datos!$G$2:$G$26103,Datos!$E$2:$E$26103,$A42,Datos!$B$2:$B$26103,17,Datos!$C$2:$C$26103,"&gt;=30",Datos!$F$2:$F$26103,"STANDBY"),0),"")</f>
        <v/>
      </c>
      <c r="V42" s="7">
        <f>IFERROR(ROUND(AVERAGEIFS(Datos!$G$2:$G$26103,Datos!$E$2:$E$26103,$A42,Datos!$B$2:$B$26103,18,Datos!$C$2:$C$26103,"&lt;30",Datos!$F$2:$F$26103,"STANDBY"),0),"")</f>
        <v/>
      </c>
      <c r="W42" s="7">
        <f>IFERROR(ROUND(AVERAGEIFS(Datos!$G$2:$G$26103,Datos!$E$2:$E$26103,$A42,Datos!$B$2:$B$26103,18,Datos!$C$2:$C$26103,"&gt;=30",Datos!$F$2:$F$26103,"STANDBY"),0),"")</f>
        <v/>
      </c>
      <c r="X42" s="7">
        <f>IFERROR(ROUND(AVERAGEIFS(Datos!$G$2:$G$26103,Datos!$E$2:$E$26103,$A42,Datos!$B$2:$B$26103,19,Datos!$C$2:$C$26103,"&lt;30",Datos!$F$2:$F$26103,"STANDBY"),0),"")</f>
        <v/>
      </c>
      <c r="Y42" s="7">
        <f>IFERROR(ROUND(AVERAGEIFS(Datos!$G$2:$G$26103,Datos!$E$2:$E$26103,$A42,Datos!$B$2:$B$26103,19,Datos!$C$2:$C$26103,"&gt;=30",Datos!$F$2:$F$26103,"STANDBY"),0),"")</f>
        <v/>
      </c>
      <c r="Z42" s="7">
        <f>IFERROR(ROUND(AVERAGEIFS(Datos!$G$2:$G$26103,Datos!$E$2:$E$26103,$A42,Datos!$B$2:$B$26103,20,Datos!$C$2:$C$26103,"&lt;30",Datos!$F$2:$F$26103,"STANDBY"),0),"")</f>
        <v/>
      </c>
      <c r="AA42" s="7">
        <f>IFERROR(ROUND(AVERAGEIFS(Datos!$G$2:$G$26103,Datos!$E$2:$E$26103,$A42,Datos!$B$2:$B$26103,20,Datos!$C$2:$C$26103,"&gt;=30",Datos!$F$2:$F$26103,"STANDBY"),0),"")</f>
        <v/>
      </c>
      <c r="AB42" s="7">
        <f>IFERROR(ROUND(AVERAGEIFS(Datos!$G$2:$G$26103,Datos!$E$2:$E$26103,$A42,Datos!$B$2:$B$26103,21,Datos!$C$2:$C$26103,"&lt;30",Datos!$F$2:$F$26103,"STANDBY"),0),"")</f>
        <v/>
      </c>
      <c r="AC42" s="7">
        <f>IFERROR(ROUND(AVERAGEIFS(Datos!$G$2:$G$26103,Datos!$E$2:$E$26103,$A42,Datos!$B$2:$B$26103,21,Datos!$C$2:$C$26103,"&gt;=30",Datos!$F$2:$F$26103,"STANDBY"),0),"")</f>
        <v/>
      </c>
      <c r="AD42" s="7">
        <f>IFERROR(ROUND(AVERAGEIFS(Datos!$G$2:$G$26103,Datos!$E$2:$E$26103,$A42,Datos!$B$2:$B$26103,22,Datos!$C$2:$C$26103,"&lt;30",Datos!$F$2:$F$26103,"STANDBY"),0),"")</f>
        <v/>
      </c>
      <c r="AE42" s="7">
        <f>IFERROR(ROUND(AVERAGEIFS(Datos!$G$2:$G$26103,Datos!$E$2:$E$26103,$A42,Datos!$B$2:$B$26103,22,Datos!$C$2:$C$26103,"&gt;=30",Datos!$F$2:$F$26103,"STANDBY"),0),"")</f>
        <v/>
      </c>
      <c r="AF42" s="7">
        <f>IFERROR(ROUND(AVERAGEIFS(Datos!$G$2:$G$26103,Datos!$E$2:$E$26103,$A42,Datos!$B$2:$B$26103,23,Datos!$C$2:$C$26103,"&lt;30",Datos!$F$2:$F$26103,"STANDBY"),0),"")</f>
        <v/>
      </c>
      <c r="AG42" s="7">
        <f>IFERROR(ROUND(AVERAGEIFS(Datos!$G$2:$G$26103,Datos!$E$2:$E$26103,$A42,Datos!$B$2:$B$26103,23,Datos!$C$2:$C$26103,"&gt;=30",Datos!$F$2:$F$26103,"STANDBY"),0),"")</f>
        <v/>
      </c>
    </row>
    <row r="43">
      <c r="A43" s="6" t="inlineStr">
        <is>
          <t>Le Carrousel de Lancelot</t>
        </is>
      </c>
      <c r="B43" s="7">
        <f>IFERROR(ROUND(AVERAGEIFS(Datos!$G$2:$G$26103,Datos!$E$2:$E$26103,$A43,Datos!$B$2:$B$26103,8,Datos!$C$2:$C$26103,"&lt;30",Datos!$F$2:$F$26103,"STANDBY"),0),"")</f>
        <v/>
      </c>
      <c r="C43" s="7">
        <f>IFERROR(ROUND(AVERAGEIFS(Datos!$G$2:$G$26103,Datos!$E$2:$E$26103,$A43,Datos!$B$2:$B$26103,8,Datos!$C$2:$C$26103,"&gt;=30",Datos!$F$2:$F$26103,"STANDBY"),0),"")</f>
        <v/>
      </c>
      <c r="D43" s="7">
        <f>IFERROR(ROUND(AVERAGEIFS(Datos!$G$2:$G$26103,Datos!$E$2:$E$26103,$A43,Datos!$B$2:$B$26103,9,Datos!$C$2:$C$26103,"&lt;30",Datos!$F$2:$F$26103,"STANDBY"),0),"")</f>
        <v/>
      </c>
      <c r="E43" s="7">
        <f>IFERROR(ROUND(AVERAGEIFS(Datos!$G$2:$G$26103,Datos!$E$2:$E$26103,$A43,Datos!$B$2:$B$26103,9,Datos!$C$2:$C$26103,"&gt;=30",Datos!$F$2:$F$26103,"STANDBY"),0),"")</f>
        <v/>
      </c>
      <c r="F43" s="7">
        <f>IFERROR(ROUND(AVERAGEIFS(Datos!$G$2:$G$26103,Datos!$E$2:$E$26103,$A43,Datos!$B$2:$B$26103,10,Datos!$C$2:$C$26103,"&lt;30",Datos!$F$2:$F$26103,"STANDBY"),0),"")</f>
        <v/>
      </c>
      <c r="G43" s="7">
        <f>IFERROR(ROUND(AVERAGEIFS(Datos!$G$2:$G$26103,Datos!$E$2:$E$26103,$A43,Datos!$B$2:$B$26103,10,Datos!$C$2:$C$26103,"&gt;=30",Datos!$F$2:$F$26103,"STANDBY"),0),"")</f>
        <v/>
      </c>
      <c r="H43" s="7">
        <f>IFERROR(ROUND(AVERAGEIFS(Datos!$G$2:$G$26103,Datos!$E$2:$E$26103,$A43,Datos!$B$2:$B$26103,11,Datos!$C$2:$C$26103,"&lt;30",Datos!$F$2:$F$26103,"STANDBY"),0),"")</f>
        <v/>
      </c>
      <c r="I43" s="7">
        <f>IFERROR(ROUND(AVERAGEIFS(Datos!$G$2:$G$26103,Datos!$E$2:$E$26103,$A43,Datos!$B$2:$B$26103,11,Datos!$C$2:$C$26103,"&gt;=30",Datos!$F$2:$F$26103,"STANDBY"),0),"")</f>
        <v/>
      </c>
      <c r="J43" s="7">
        <f>IFERROR(ROUND(AVERAGEIFS(Datos!$G$2:$G$26103,Datos!$E$2:$E$26103,$A43,Datos!$B$2:$B$26103,12,Datos!$C$2:$C$26103,"&lt;30",Datos!$F$2:$F$26103,"STANDBY"),0),"")</f>
        <v/>
      </c>
      <c r="K43" s="7">
        <f>IFERROR(ROUND(AVERAGEIFS(Datos!$G$2:$G$26103,Datos!$E$2:$E$26103,$A43,Datos!$B$2:$B$26103,12,Datos!$C$2:$C$26103,"&gt;=30",Datos!$F$2:$F$26103,"STANDBY"),0),"")</f>
        <v/>
      </c>
      <c r="L43" s="7">
        <f>IFERROR(ROUND(AVERAGEIFS(Datos!$G$2:$G$26103,Datos!$E$2:$E$26103,$A43,Datos!$B$2:$B$26103,13,Datos!$C$2:$C$26103,"&lt;30",Datos!$F$2:$F$26103,"STANDBY"),0),"")</f>
        <v/>
      </c>
      <c r="M43" s="7">
        <f>IFERROR(ROUND(AVERAGEIFS(Datos!$G$2:$G$26103,Datos!$E$2:$E$26103,$A43,Datos!$B$2:$B$26103,13,Datos!$C$2:$C$26103,"&gt;=30",Datos!$F$2:$F$26103,"STANDBY"),0),"")</f>
        <v/>
      </c>
      <c r="N43" s="7">
        <f>IFERROR(ROUND(AVERAGEIFS(Datos!$G$2:$G$26103,Datos!$E$2:$E$26103,$A43,Datos!$B$2:$B$26103,14,Datos!$C$2:$C$26103,"&lt;30",Datos!$F$2:$F$26103,"STANDBY"),0),"")</f>
        <v/>
      </c>
      <c r="O43" s="7">
        <f>IFERROR(ROUND(AVERAGEIFS(Datos!$G$2:$G$26103,Datos!$E$2:$E$26103,$A43,Datos!$B$2:$B$26103,14,Datos!$C$2:$C$26103,"&gt;=30",Datos!$F$2:$F$26103,"STANDBY"),0),"")</f>
        <v/>
      </c>
      <c r="P43" s="7">
        <f>IFERROR(ROUND(AVERAGEIFS(Datos!$G$2:$G$26103,Datos!$E$2:$E$26103,$A43,Datos!$B$2:$B$26103,15,Datos!$C$2:$C$26103,"&lt;30",Datos!$F$2:$F$26103,"STANDBY"),0),"")</f>
        <v/>
      </c>
      <c r="Q43" s="7">
        <f>IFERROR(ROUND(AVERAGEIFS(Datos!$G$2:$G$26103,Datos!$E$2:$E$26103,$A43,Datos!$B$2:$B$26103,15,Datos!$C$2:$C$26103,"&gt;=30",Datos!$F$2:$F$26103,"STANDBY"),0),"")</f>
        <v/>
      </c>
      <c r="R43" s="7">
        <f>IFERROR(ROUND(AVERAGEIFS(Datos!$G$2:$G$26103,Datos!$E$2:$E$26103,$A43,Datos!$B$2:$B$26103,16,Datos!$C$2:$C$26103,"&lt;30",Datos!$F$2:$F$26103,"STANDBY"),0),"")</f>
        <v/>
      </c>
      <c r="S43" s="7">
        <f>IFERROR(ROUND(AVERAGEIFS(Datos!$G$2:$G$26103,Datos!$E$2:$E$26103,$A43,Datos!$B$2:$B$26103,16,Datos!$C$2:$C$26103,"&gt;=30",Datos!$F$2:$F$26103,"STANDBY"),0),"")</f>
        <v/>
      </c>
      <c r="T43" s="7">
        <f>IFERROR(ROUND(AVERAGEIFS(Datos!$G$2:$G$26103,Datos!$E$2:$E$26103,$A43,Datos!$B$2:$B$26103,17,Datos!$C$2:$C$26103,"&lt;30",Datos!$F$2:$F$26103,"STANDBY"),0),"")</f>
        <v/>
      </c>
      <c r="U43" s="7">
        <f>IFERROR(ROUND(AVERAGEIFS(Datos!$G$2:$G$26103,Datos!$E$2:$E$26103,$A43,Datos!$B$2:$B$26103,17,Datos!$C$2:$C$26103,"&gt;=30",Datos!$F$2:$F$26103,"STANDBY"),0),"")</f>
        <v/>
      </c>
      <c r="V43" s="7">
        <f>IFERROR(ROUND(AVERAGEIFS(Datos!$G$2:$G$26103,Datos!$E$2:$E$26103,$A43,Datos!$B$2:$B$26103,18,Datos!$C$2:$C$26103,"&lt;30",Datos!$F$2:$F$26103,"STANDBY"),0),"")</f>
        <v/>
      </c>
      <c r="W43" s="7">
        <f>IFERROR(ROUND(AVERAGEIFS(Datos!$G$2:$G$26103,Datos!$E$2:$E$26103,$A43,Datos!$B$2:$B$26103,18,Datos!$C$2:$C$26103,"&gt;=30",Datos!$F$2:$F$26103,"STANDBY"),0),"")</f>
        <v/>
      </c>
      <c r="X43" s="7">
        <f>IFERROR(ROUND(AVERAGEIFS(Datos!$G$2:$G$26103,Datos!$E$2:$E$26103,$A43,Datos!$B$2:$B$26103,19,Datos!$C$2:$C$26103,"&lt;30",Datos!$F$2:$F$26103,"STANDBY"),0),"")</f>
        <v/>
      </c>
      <c r="Y43" s="7">
        <f>IFERROR(ROUND(AVERAGEIFS(Datos!$G$2:$G$26103,Datos!$E$2:$E$26103,$A43,Datos!$B$2:$B$26103,19,Datos!$C$2:$C$26103,"&gt;=30",Datos!$F$2:$F$26103,"STANDBY"),0),"")</f>
        <v/>
      </c>
      <c r="Z43" s="7">
        <f>IFERROR(ROUND(AVERAGEIFS(Datos!$G$2:$G$26103,Datos!$E$2:$E$26103,$A43,Datos!$B$2:$B$26103,20,Datos!$C$2:$C$26103,"&lt;30",Datos!$F$2:$F$26103,"STANDBY"),0),"")</f>
        <v/>
      </c>
      <c r="AA43" s="7">
        <f>IFERROR(ROUND(AVERAGEIFS(Datos!$G$2:$G$26103,Datos!$E$2:$E$26103,$A43,Datos!$B$2:$B$26103,20,Datos!$C$2:$C$26103,"&gt;=30",Datos!$F$2:$F$26103,"STANDBY"),0),"")</f>
        <v/>
      </c>
      <c r="AB43" s="7">
        <f>IFERROR(ROUND(AVERAGEIFS(Datos!$G$2:$G$26103,Datos!$E$2:$E$26103,$A43,Datos!$B$2:$B$26103,21,Datos!$C$2:$C$26103,"&lt;30",Datos!$F$2:$F$26103,"STANDBY"),0),"")</f>
        <v/>
      </c>
      <c r="AC43" s="7">
        <f>IFERROR(ROUND(AVERAGEIFS(Datos!$G$2:$G$26103,Datos!$E$2:$E$26103,$A43,Datos!$B$2:$B$26103,21,Datos!$C$2:$C$26103,"&gt;=30",Datos!$F$2:$F$26103,"STANDBY"),0),"")</f>
        <v/>
      </c>
      <c r="AD43" s="7">
        <f>IFERROR(ROUND(AVERAGEIFS(Datos!$G$2:$G$26103,Datos!$E$2:$E$26103,$A43,Datos!$B$2:$B$26103,22,Datos!$C$2:$C$26103,"&lt;30",Datos!$F$2:$F$26103,"STANDBY"),0),"")</f>
        <v/>
      </c>
      <c r="AE43" s="7">
        <f>IFERROR(ROUND(AVERAGEIFS(Datos!$G$2:$G$26103,Datos!$E$2:$E$26103,$A43,Datos!$B$2:$B$26103,22,Datos!$C$2:$C$26103,"&gt;=30",Datos!$F$2:$F$26103,"STANDBY"),0),"")</f>
        <v/>
      </c>
      <c r="AF43" s="7">
        <f>IFERROR(ROUND(AVERAGEIFS(Datos!$G$2:$G$26103,Datos!$E$2:$E$26103,$A43,Datos!$B$2:$B$26103,23,Datos!$C$2:$C$26103,"&lt;30",Datos!$F$2:$F$26103,"STANDBY"),0),"")</f>
        <v/>
      </c>
      <c r="AG43" s="7">
        <f>IFERROR(ROUND(AVERAGEIFS(Datos!$G$2:$G$26103,Datos!$E$2:$E$26103,$A43,Datos!$B$2:$B$26103,23,Datos!$C$2:$C$26103,"&gt;=30",Datos!$F$2:$F$26103,"STANDBY"),0),"")</f>
        <v/>
      </c>
    </row>
    <row r="44">
      <c r="A44" s="6" t="inlineStr">
        <is>
          <t>Le Passage Enchanté d'Aladdin</t>
        </is>
      </c>
      <c r="B44" s="7">
        <f>IFERROR(ROUND(AVERAGEIFS(Datos!$G$2:$G$26103,Datos!$E$2:$E$26103,$A44,Datos!$B$2:$B$26103,8,Datos!$C$2:$C$26103,"&lt;30",Datos!$F$2:$F$26103,"STANDBY"),0),"")</f>
        <v/>
      </c>
      <c r="C44" s="7">
        <f>IFERROR(ROUND(AVERAGEIFS(Datos!$G$2:$G$26103,Datos!$E$2:$E$26103,$A44,Datos!$B$2:$B$26103,8,Datos!$C$2:$C$26103,"&gt;=30",Datos!$F$2:$F$26103,"STANDBY"),0),"")</f>
        <v/>
      </c>
      <c r="D44" s="7">
        <f>IFERROR(ROUND(AVERAGEIFS(Datos!$G$2:$G$26103,Datos!$E$2:$E$26103,$A44,Datos!$B$2:$B$26103,9,Datos!$C$2:$C$26103,"&lt;30",Datos!$F$2:$F$26103,"STANDBY"),0),"")</f>
        <v/>
      </c>
      <c r="E44" s="7">
        <f>IFERROR(ROUND(AVERAGEIFS(Datos!$G$2:$G$26103,Datos!$E$2:$E$26103,$A44,Datos!$B$2:$B$26103,9,Datos!$C$2:$C$26103,"&gt;=30",Datos!$F$2:$F$26103,"STANDBY"),0),"")</f>
        <v/>
      </c>
      <c r="F44" s="7">
        <f>IFERROR(ROUND(AVERAGEIFS(Datos!$G$2:$G$26103,Datos!$E$2:$E$26103,$A44,Datos!$B$2:$B$26103,10,Datos!$C$2:$C$26103,"&lt;30",Datos!$F$2:$F$26103,"STANDBY"),0),"")</f>
        <v/>
      </c>
      <c r="G44" s="7">
        <f>IFERROR(ROUND(AVERAGEIFS(Datos!$G$2:$G$26103,Datos!$E$2:$E$26103,$A44,Datos!$B$2:$B$26103,10,Datos!$C$2:$C$26103,"&gt;=30",Datos!$F$2:$F$26103,"STANDBY"),0),"")</f>
        <v/>
      </c>
      <c r="H44" s="7">
        <f>IFERROR(ROUND(AVERAGEIFS(Datos!$G$2:$G$26103,Datos!$E$2:$E$26103,$A44,Datos!$B$2:$B$26103,11,Datos!$C$2:$C$26103,"&lt;30",Datos!$F$2:$F$26103,"STANDBY"),0),"")</f>
        <v/>
      </c>
      <c r="I44" s="7">
        <f>IFERROR(ROUND(AVERAGEIFS(Datos!$G$2:$G$26103,Datos!$E$2:$E$26103,$A44,Datos!$B$2:$B$26103,11,Datos!$C$2:$C$26103,"&gt;=30",Datos!$F$2:$F$26103,"STANDBY"),0),"")</f>
        <v/>
      </c>
      <c r="J44" s="7">
        <f>IFERROR(ROUND(AVERAGEIFS(Datos!$G$2:$G$26103,Datos!$E$2:$E$26103,$A44,Datos!$B$2:$B$26103,12,Datos!$C$2:$C$26103,"&lt;30",Datos!$F$2:$F$26103,"STANDBY"),0),"")</f>
        <v/>
      </c>
      <c r="K44" s="7">
        <f>IFERROR(ROUND(AVERAGEIFS(Datos!$G$2:$G$26103,Datos!$E$2:$E$26103,$A44,Datos!$B$2:$B$26103,12,Datos!$C$2:$C$26103,"&gt;=30",Datos!$F$2:$F$26103,"STANDBY"),0),"")</f>
        <v/>
      </c>
      <c r="L44" s="7">
        <f>IFERROR(ROUND(AVERAGEIFS(Datos!$G$2:$G$26103,Datos!$E$2:$E$26103,$A44,Datos!$B$2:$B$26103,13,Datos!$C$2:$C$26103,"&lt;30",Datos!$F$2:$F$26103,"STANDBY"),0),"")</f>
        <v/>
      </c>
      <c r="M44" s="7">
        <f>IFERROR(ROUND(AVERAGEIFS(Datos!$G$2:$G$26103,Datos!$E$2:$E$26103,$A44,Datos!$B$2:$B$26103,13,Datos!$C$2:$C$26103,"&gt;=30",Datos!$F$2:$F$26103,"STANDBY"),0),"")</f>
        <v/>
      </c>
      <c r="N44" s="7">
        <f>IFERROR(ROUND(AVERAGEIFS(Datos!$G$2:$G$26103,Datos!$E$2:$E$26103,$A44,Datos!$B$2:$B$26103,14,Datos!$C$2:$C$26103,"&lt;30",Datos!$F$2:$F$26103,"STANDBY"),0),"")</f>
        <v/>
      </c>
      <c r="O44" s="7">
        <f>IFERROR(ROUND(AVERAGEIFS(Datos!$G$2:$G$26103,Datos!$E$2:$E$26103,$A44,Datos!$B$2:$B$26103,14,Datos!$C$2:$C$26103,"&gt;=30",Datos!$F$2:$F$26103,"STANDBY"),0),"")</f>
        <v/>
      </c>
      <c r="P44" s="7">
        <f>IFERROR(ROUND(AVERAGEIFS(Datos!$G$2:$G$26103,Datos!$E$2:$E$26103,$A44,Datos!$B$2:$B$26103,15,Datos!$C$2:$C$26103,"&lt;30",Datos!$F$2:$F$26103,"STANDBY"),0),"")</f>
        <v/>
      </c>
      <c r="Q44" s="7">
        <f>IFERROR(ROUND(AVERAGEIFS(Datos!$G$2:$G$26103,Datos!$E$2:$E$26103,$A44,Datos!$B$2:$B$26103,15,Datos!$C$2:$C$26103,"&gt;=30",Datos!$F$2:$F$26103,"STANDBY"),0),"")</f>
        <v/>
      </c>
      <c r="R44" s="7">
        <f>IFERROR(ROUND(AVERAGEIFS(Datos!$G$2:$G$26103,Datos!$E$2:$E$26103,$A44,Datos!$B$2:$B$26103,16,Datos!$C$2:$C$26103,"&lt;30",Datos!$F$2:$F$26103,"STANDBY"),0),"")</f>
        <v/>
      </c>
      <c r="S44" s="7">
        <f>IFERROR(ROUND(AVERAGEIFS(Datos!$G$2:$G$26103,Datos!$E$2:$E$26103,$A44,Datos!$B$2:$B$26103,16,Datos!$C$2:$C$26103,"&gt;=30",Datos!$F$2:$F$26103,"STANDBY"),0),"")</f>
        <v/>
      </c>
      <c r="T44" s="7">
        <f>IFERROR(ROUND(AVERAGEIFS(Datos!$G$2:$G$26103,Datos!$E$2:$E$26103,$A44,Datos!$B$2:$B$26103,17,Datos!$C$2:$C$26103,"&lt;30",Datos!$F$2:$F$26103,"STANDBY"),0),"")</f>
        <v/>
      </c>
      <c r="U44" s="7">
        <f>IFERROR(ROUND(AVERAGEIFS(Datos!$G$2:$G$26103,Datos!$E$2:$E$26103,$A44,Datos!$B$2:$B$26103,17,Datos!$C$2:$C$26103,"&gt;=30",Datos!$F$2:$F$26103,"STANDBY"),0),"")</f>
        <v/>
      </c>
      <c r="V44" s="7">
        <f>IFERROR(ROUND(AVERAGEIFS(Datos!$G$2:$G$26103,Datos!$E$2:$E$26103,$A44,Datos!$B$2:$B$26103,18,Datos!$C$2:$C$26103,"&lt;30",Datos!$F$2:$F$26103,"STANDBY"),0),"")</f>
        <v/>
      </c>
      <c r="W44" s="7">
        <f>IFERROR(ROUND(AVERAGEIFS(Datos!$G$2:$G$26103,Datos!$E$2:$E$26103,$A44,Datos!$B$2:$B$26103,18,Datos!$C$2:$C$26103,"&gt;=30",Datos!$F$2:$F$26103,"STANDBY"),0),"")</f>
        <v/>
      </c>
      <c r="X44" s="7">
        <f>IFERROR(ROUND(AVERAGEIFS(Datos!$G$2:$G$26103,Datos!$E$2:$E$26103,$A44,Datos!$B$2:$B$26103,19,Datos!$C$2:$C$26103,"&lt;30",Datos!$F$2:$F$26103,"STANDBY"),0),"")</f>
        <v/>
      </c>
      <c r="Y44" s="7">
        <f>IFERROR(ROUND(AVERAGEIFS(Datos!$G$2:$G$26103,Datos!$E$2:$E$26103,$A44,Datos!$B$2:$B$26103,19,Datos!$C$2:$C$26103,"&gt;=30",Datos!$F$2:$F$26103,"STANDBY"),0),"")</f>
        <v/>
      </c>
      <c r="Z44" s="7">
        <f>IFERROR(ROUND(AVERAGEIFS(Datos!$G$2:$G$26103,Datos!$E$2:$E$26103,$A44,Datos!$B$2:$B$26103,20,Datos!$C$2:$C$26103,"&lt;30",Datos!$F$2:$F$26103,"STANDBY"),0),"")</f>
        <v/>
      </c>
      <c r="AA44" s="7">
        <f>IFERROR(ROUND(AVERAGEIFS(Datos!$G$2:$G$26103,Datos!$E$2:$E$26103,$A44,Datos!$B$2:$B$26103,20,Datos!$C$2:$C$26103,"&gt;=30",Datos!$F$2:$F$26103,"STANDBY"),0),"")</f>
        <v/>
      </c>
      <c r="AB44" s="7">
        <f>IFERROR(ROUND(AVERAGEIFS(Datos!$G$2:$G$26103,Datos!$E$2:$E$26103,$A44,Datos!$B$2:$B$26103,21,Datos!$C$2:$C$26103,"&lt;30",Datos!$F$2:$F$26103,"STANDBY"),0),"")</f>
        <v/>
      </c>
      <c r="AC44" s="7">
        <f>IFERROR(ROUND(AVERAGEIFS(Datos!$G$2:$G$26103,Datos!$E$2:$E$26103,$A44,Datos!$B$2:$B$26103,21,Datos!$C$2:$C$26103,"&gt;=30",Datos!$F$2:$F$26103,"STANDBY"),0),"")</f>
        <v/>
      </c>
      <c r="AD44" s="7">
        <f>IFERROR(ROUND(AVERAGEIFS(Datos!$G$2:$G$26103,Datos!$E$2:$E$26103,$A44,Datos!$B$2:$B$26103,22,Datos!$C$2:$C$26103,"&lt;30",Datos!$F$2:$F$26103,"STANDBY"),0),"")</f>
        <v/>
      </c>
      <c r="AE44" s="7">
        <f>IFERROR(ROUND(AVERAGEIFS(Datos!$G$2:$G$26103,Datos!$E$2:$E$26103,$A44,Datos!$B$2:$B$26103,22,Datos!$C$2:$C$26103,"&gt;=30",Datos!$F$2:$F$26103,"STANDBY"),0),"")</f>
        <v/>
      </c>
      <c r="AF44" s="7">
        <f>IFERROR(ROUND(AVERAGEIFS(Datos!$G$2:$G$26103,Datos!$E$2:$E$26103,$A44,Datos!$B$2:$B$26103,23,Datos!$C$2:$C$26103,"&lt;30",Datos!$F$2:$F$26103,"STANDBY"),0),"")</f>
        <v/>
      </c>
      <c r="AG44" s="7">
        <f>IFERROR(ROUND(AVERAGEIFS(Datos!$G$2:$G$26103,Datos!$E$2:$E$26103,$A44,Datos!$B$2:$B$26103,23,Datos!$C$2:$C$26103,"&gt;=30",Datos!$F$2:$F$26103,"STANDBY"),0),"")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IFERROR(ROUND(AVERAGEIFS(Datos!$G$2:$G$26103,Datos!$E$2:$E$26103,$A45,Datos!$B$2:$B$26103,8,Datos!$C$2:$C$26103,"&lt;30",Datos!$F$2:$F$26103,"STANDBY"),0),"")</f>
        <v/>
      </c>
      <c r="C45" s="7">
        <f>IFERROR(ROUND(AVERAGEIFS(Datos!$G$2:$G$26103,Datos!$E$2:$E$26103,$A45,Datos!$B$2:$B$26103,8,Datos!$C$2:$C$26103,"&gt;=30",Datos!$F$2:$F$26103,"STANDBY"),0),"")</f>
        <v/>
      </c>
      <c r="D45" s="7">
        <f>IFERROR(ROUND(AVERAGEIFS(Datos!$G$2:$G$26103,Datos!$E$2:$E$26103,$A45,Datos!$B$2:$B$26103,9,Datos!$C$2:$C$26103,"&lt;30",Datos!$F$2:$F$26103,"STANDBY"),0),"")</f>
        <v/>
      </c>
      <c r="E45" s="7">
        <f>IFERROR(ROUND(AVERAGEIFS(Datos!$G$2:$G$26103,Datos!$E$2:$E$26103,$A45,Datos!$B$2:$B$26103,9,Datos!$C$2:$C$26103,"&gt;=30",Datos!$F$2:$F$26103,"STANDBY"),0),"")</f>
        <v/>
      </c>
      <c r="F45" s="7">
        <f>IFERROR(ROUND(AVERAGEIFS(Datos!$G$2:$G$26103,Datos!$E$2:$E$26103,$A45,Datos!$B$2:$B$26103,10,Datos!$C$2:$C$26103,"&lt;30",Datos!$F$2:$F$26103,"STANDBY"),0),"")</f>
        <v/>
      </c>
      <c r="G45" s="7">
        <f>IFERROR(ROUND(AVERAGEIFS(Datos!$G$2:$G$26103,Datos!$E$2:$E$26103,$A45,Datos!$B$2:$B$26103,10,Datos!$C$2:$C$26103,"&gt;=30",Datos!$F$2:$F$26103,"STANDBY"),0),"")</f>
        <v/>
      </c>
      <c r="H45" s="7">
        <f>IFERROR(ROUND(AVERAGEIFS(Datos!$G$2:$G$26103,Datos!$E$2:$E$26103,$A45,Datos!$B$2:$B$26103,11,Datos!$C$2:$C$26103,"&lt;30",Datos!$F$2:$F$26103,"STANDBY"),0),"")</f>
        <v/>
      </c>
      <c r="I45" s="7">
        <f>IFERROR(ROUND(AVERAGEIFS(Datos!$G$2:$G$26103,Datos!$E$2:$E$26103,$A45,Datos!$B$2:$B$26103,11,Datos!$C$2:$C$26103,"&gt;=30",Datos!$F$2:$F$26103,"STANDBY"),0),"")</f>
        <v/>
      </c>
      <c r="J45" s="7">
        <f>IFERROR(ROUND(AVERAGEIFS(Datos!$G$2:$G$26103,Datos!$E$2:$E$26103,$A45,Datos!$B$2:$B$26103,12,Datos!$C$2:$C$26103,"&lt;30",Datos!$F$2:$F$26103,"STANDBY"),0),"")</f>
        <v/>
      </c>
      <c r="K45" s="7">
        <f>IFERROR(ROUND(AVERAGEIFS(Datos!$G$2:$G$26103,Datos!$E$2:$E$26103,$A45,Datos!$B$2:$B$26103,12,Datos!$C$2:$C$26103,"&gt;=30",Datos!$F$2:$F$26103,"STANDBY"),0),"")</f>
        <v/>
      </c>
      <c r="L45" s="7">
        <f>IFERROR(ROUND(AVERAGEIFS(Datos!$G$2:$G$26103,Datos!$E$2:$E$26103,$A45,Datos!$B$2:$B$26103,13,Datos!$C$2:$C$26103,"&lt;30",Datos!$F$2:$F$26103,"STANDBY"),0),"")</f>
        <v/>
      </c>
      <c r="M45" s="7">
        <f>IFERROR(ROUND(AVERAGEIFS(Datos!$G$2:$G$26103,Datos!$E$2:$E$26103,$A45,Datos!$B$2:$B$26103,13,Datos!$C$2:$C$26103,"&gt;=30",Datos!$F$2:$F$26103,"STANDBY"),0),"")</f>
        <v/>
      </c>
      <c r="N45" s="7">
        <f>IFERROR(ROUND(AVERAGEIFS(Datos!$G$2:$G$26103,Datos!$E$2:$E$26103,$A45,Datos!$B$2:$B$26103,14,Datos!$C$2:$C$26103,"&lt;30",Datos!$F$2:$F$26103,"STANDBY"),0),"")</f>
        <v/>
      </c>
      <c r="O45" s="7">
        <f>IFERROR(ROUND(AVERAGEIFS(Datos!$G$2:$G$26103,Datos!$E$2:$E$26103,$A45,Datos!$B$2:$B$26103,14,Datos!$C$2:$C$26103,"&gt;=30",Datos!$F$2:$F$26103,"STANDBY"),0),"")</f>
        <v/>
      </c>
      <c r="P45" s="7">
        <f>IFERROR(ROUND(AVERAGEIFS(Datos!$G$2:$G$26103,Datos!$E$2:$E$26103,$A45,Datos!$B$2:$B$26103,15,Datos!$C$2:$C$26103,"&lt;30",Datos!$F$2:$F$26103,"STANDBY"),0),"")</f>
        <v/>
      </c>
      <c r="Q45" s="7">
        <f>IFERROR(ROUND(AVERAGEIFS(Datos!$G$2:$G$26103,Datos!$E$2:$E$26103,$A45,Datos!$B$2:$B$26103,15,Datos!$C$2:$C$26103,"&gt;=30",Datos!$F$2:$F$26103,"STANDBY"),0),"")</f>
        <v/>
      </c>
      <c r="R45" s="7">
        <f>IFERROR(ROUND(AVERAGEIFS(Datos!$G$2:$G$26103,Datos!$E$2:$E$26103,$A45,Datos!$B$2:$B$26103,16,Datos!$C$2:$C$26103,"&lt;30",Datos!$F$2:$F$26103,"STANDBY"),0),"")</f>
        <v/>
      </c>
      <c r="S45" s="7">
        <f>IFERROR(ROUND(AVERAGEIFS(Datos!$G$2:$G$26103,Datos!$E$2:$E$26103,$A45,Datos!$B$2:$B$26103,16,Datos!$C$2:$C$26103,"&gt;=30",Datos!$F$2:$F$26103,"STANDBY"),0),"")</f>
        <v/>
      </c>
      <c r="T45" s="7">
        <f>IFERROR(ROUND(AVERAGEIFS(Datos!$G$2:$G$26103,Datos!$E$2:$E$26103,$A45,Datos!$B$2:$B$26103,17,Datos!$C$2:$C$26103,"&lt;30",Datos!$F$2:$F$26103,"STANDBY"),0),"")</f>
        <v/>
      </c>
      <c r="U45" s="7">
        <f>IFERROR(ROUND(AVERAGEIFS(Datos!$G$2:$G$26103,Datos!$E$2:$E$26103,$A45,Datos!$B$2:$B$26103,17,Datos!$C$2:$C$26103,"&gt;=30",Datos!$F$2:$F$26103,"STANDBY"),0),"")</f>
        <v/>
      </c>
      <c r="V45" s="7">
        <f>IFERROR(ROUND(AVERAGEIFS(Datos!$G$2:$G$26103,Datos!$E$2:$E$26103,$A45,Datos!$B$2:$B$26103,18,Datos!$C$2:$C$26103,"&lt;30",Datos!$F$2:$F$26103,"STANDBY"),0),"")</f>
        <v/>
      </c>
      <c r="W45" s="7">
        <f>IFERROR(ROUND(AVERAGEIFS(Datos!$G$2:$G$26103,Datos!$E$2:$E$26103,$A45,Datos!$B$2:$B$26103,18,Datos!$C$2:$C$26103,"&gt;=30",Datos!$F$2:$F$26103,"STANDBY"),0),"")</f>
        <v/>
      </c>
      <c r="X45" s="7">
        <f>IFERROR(ROUND(AVERAGEIFS(Datos!$G$2:$G$26103,Datos!$E$2:$E$26103,$A45,Datos!$B$2:$B$26103,19,Datos!$C$2:$C$26103,"&lt;30",Datos!$F$2:$F$26103,"STANDBY"),0),"")</f>
        <v/>
      </c>
      <c r="Y45" s="7">
        <f>IFERROR(ROUND(AVERAGEIFS(Datos!$G$2:$G$26103,Datos!$E$2:$E$26103,$A45,Datos!$B$2:$B$26103,19,Datos!$C$2:$C$26103,"&gt;=30",Datos!$F$2:$F$26103,"STANDBY"),0),"")</f>
        <v/>
      </c>
      <c r="Z45" s="7">
        <f>IFERROR(ROUND(AVERAGEIFS(Datos!$G$2:$G$26103,Datos!$E$2:$E$26103,$A45,Datos!$B$2:$B$26103,20,Datos!$C$2:$C$26103,"&lt;30",Datos!$F$2:$F$26103,"STANDBY"),0),"")</f>
        <v/>
      </c>
      <c r="AA45" s="7">
        <f>IFERROR(ROUND(AVERAGEIFS(Datos!$G$2:$G$26103,Datos!$E$2:$E$26103,$A45,Datos!$B$2:$B$26103,20,Datos!$C$2:$C$26103,"&gt;=30",Datos!$F$2:$F$26103,"STANDBY"),0),"")</f>
        <v/>
      </c>
      <c r="AB45" s="7">
        <f>IFERROR(ROUND(AVERAGEIFS(Datos!$G$2:$G$26103,Datos!$E$2:$E$26103,$A45,Datos!$B$2:$B$26103,21,Datos!$C$2:$C$26103,"&lt;30",Datos!$F$2:$F$26103,"STANDBY"),0),"")</f>
        <v/>
      </c>
      <c r="AC45" s="7">
        <f>IFERROR(ROUND(AVERAGEIFS(Datos!$G$2:$G$26103,Datos!$E$2:$E$26103,$A45,Datos!$B$2:$B$26103,21,Datos!$C$2:$C$26103,"&gt;=30",Datos!$F$2:$F$26103,"STANDBY"),0),"")</f>
        <v/>
      </c>
      <c r="AD45" s="7">
        <f>IFERROR(ROUND(AVERAGEIFS(Datos!$G$2:$G$26103,Datos!$E$2:$E$26103,$A45,Datos!$B$2:$B$26103,22,Datos!$C$2:$C$26103,"&lt;30",Datos!$F$2:$F$26103,"STANDBY"),0),"")</f>
        <v/>
      </c>
      <c r="AE45" s="7">
        <f>IFERROR(ROUND(AVERAGEIFS(Datos!$G$2:$G$26103,Datos!$E$2:$E$26103,$A45,Datos!$B$2:$B$26103,22,Datos!$C$2:$C$26103,"&gt;=30",Datos!$F$2:$F$26103,"STANDBY"),0),"")</f>
        <v/>
      </c>
      <c r="AF45" s="7">
        <f>IFERROR(ROUND(AVERAGEIFS(Datos!$G$2:$G$26103,Datos!$E$2:$E$26103,$A45,Datos!$B$2:$B$26103,23,Datos!$C$2:$C$26103,"&lt;30",Datos!$F$2:$F$26103,"STANDBY"),0),"")</f>
        <v/>
      </c>
      <c r="AG45" s="7">
        <f>IFERROR(ROUND(AVERAGEIFS(Datos!$G$2:$G$26103,Datos!$E$2:$E$26103,$A45,Datos!$B$2:$B$26103,23,Datos!$C$2:$C$26103,"&gt;=30",Datos!$F$2:$F$26103,"STANDBY"),0),"")</f>
        <v/>
      </c>
    </row>
    <row r="46">
      <c r="A46" s="6" t="inlineStr">
        <is>
          <t>Les Mystères du Nautilus</t>
        </is>
      </c>
      <c r="B46" s="7">
        <f>IFERROR(ROUND(AVERAGEIFS(Datos!$G$2:$G$26103,Datos!$E$2:$E$26103,$A46,Datos!$B$2:$B$26103,8,Datos!$C$2:$C$26103,"&lt;30",Datos!$F$2:$F$26103,"STANDBY"),0),"")</f>
        <v/>
      </c>
      <c r="C46" s="7">
        <f>IFERROR(ROUND(AVERAGEIFS(Datos!$G$2:$G$26103,Datos!$E$2:$E$26103,$A46,Datos!$B$2:$B$26103,8,Datos!$C$2:$C$26103,"&gt;=30",Datos!$F$2:$F$26103,"STANDBY"),0),"")</f>
        <v/>
      </c>
      <c r="D46" s="7">
        <f>IFERROR(ROUND(AVERAGEIFS(Datos!$G$2:$G$26103,Datos!$E$2:$E$26103,$A46,Datos!$B$2:$B$26103,9,Datos!$C$2:$C$26103,"&lt;30",Datos!$F$2:$F$26103,"STANDBY"),0),"")</f>
        <v/>
      </c>
      <c r="E46" s="7">
        <f>IFERROR(ROUND(AVERAGEIFS(Datos!$G$2:$G$26103,Datos!$E$2:$E$26103,$A46,Datos!$B$2:$B$26103,9,Datos!$C$2:$C$26103,"&gt;=30",Datos!$F$2:$F$26103,"STANDBY"),0),"")</f>
        <v/>
      </c>
      <c r="F46" s="7">
        <f>IFERROR(ROUND(AVERAGEIFS(Datos!$G$2:$G$26103,Datos!$E$2:$E$26103,$A46,Datos!$B$2:$B$26103,10,Datos!$C$2:$C$26103,"&lt;30",Datos!$F$2:$F$26103,"STANDBY"),0),"")</f>
        <v/>
      </c>
      <c r="G46" s="7">
        <f>IFERROR(ROUND(AVERAGEIFS(Datos!$G$2:$G$26103,Datos!$E$2:$E$26103,$A46,Datos!$B$2:$B$26103,10,Datos!$C$2:$C$26103,"&gt;=30",Datos!$F$2:$F$26103,"STANDBY"),0),"")</f>
        <v/>
      </c>
      <c r="H46" s="7">
        <f>IFERROR(ROUND(AVERAGEIFS(Datos!$G$2:$G$26103,Datos!$E$2:$E$26103,$A46,Datos!$B$2:$B$26103,11,Datos!$C$2:$C$26103,"&lt;30",Datos!$F$2:$F$26103,"STANDBY"),0),"")</f>
        <v/>
      </c>
      <c r="I46" s="7">
        <f>IFERROR(ROUND(AVERAGEIFS(Datos!$G$2:$G$26103,Datos!$E$2:$E$26103,$A46,Datos!$B$2:$B$26103,11,Datos!$C$2:$C$26103,"&gt;=30",Datos!$F$2:$F$26103,"STANDBY"),0),"")</f>
        <v/>
      </c>
      <c r="J46" s="7">
        <f>IFERROR(ROUND(AVERAGEIFS(Datos!$G$2:$G$26103,Datos!$E$2:$E$26103,$A46,Datos!$B$2:$B$26103,12,Datos!$C$2:$C$26103,"&lt;30",Datos!$F$2:$F$26103,"STANDBY"),0),"")</f>
        <v/>
      </c>
      <c r="K46" s="7">
        <f>IFERROR(ROUND(AVERAGEIFS(Datos!$G$2:$G$26103,Datos!$E$2:$E$26103,$A46,Datos!$B$2:$B$26103,12,Datos!$C$2:$C$26103,"&gt;=30",Datos!$F$2:$F$26103,"STANDBY"),0),"")</f>
        <v/>
      </c>
      <c r="L46" s="7">
        <f>IFERROR(ROUND(AVERAGEIFS(Datos!$G$2:$G$26103,Datos!$E$2:$E$26103,$A46,Datos!$B$2:$B$26103,13,Datos!$C$2:$C$26103,"&lt;30",Datos!$F$2:$F$26103,"STANDBY"),0),"")</f>
        <v/>
      </c>
      <c r="M46" s="7">
        <f>IFERROR(ROUND(AVERAGEIFS(Datos!$G$2:$G$26103,Datos!$E$2:$E$26103,$A46,Datos!$B$2:$B$26103,13,Datos!$C$2:$C$26103,"&gt;=30",Datos!$F$2:$F$26103,"STANDBY"),0),"")</f>
        <v/>
      </c>
      <c r="N46" s="7">
        <f>IFERROR(ROUND(AVERAGEIFS(Datos!$G$2:$G$26103,Datos!$E$2:$E$26103,$A46,Datos!$B$2:$B$26103,14,Datos!$C$2:$C$26103,"&lt;30",Datos!$F$2:$F$26103,"STANDBY"),0),"")</f>
        <v/>
      </c>
      <c r="O46" s="7">
        <f>IFERROR(ROUND(AVERAGEIFS(Datos!$G$2:$G$26103,Datos!$E$2:$E$26103,$A46,Datos!$B$2:$B$26103,14,Datos!$C$2:$C$26103,"&gt;=30",Datos!$F$2:$F$26103,"STANDBY"),0),"")</f>
        <v/>
      </c>
      <c r="P46" s="7">
        <f>IFERROR(ROUND(AVERAGEIFS(Datos!$G$2:$G$26103,Datos!$E$2:$E$26103,$A46,Datos!$B$2:$B$26103,15,Datos!$C$2:$C$26103,"&lt;30",Datos!$F$2:$F$26103,"STANDBY"),0),"")</f>
        <v/>
      </c>
      <c r="Q46" s="7">
        <f>IFERROR(ROUND(AVERAGEIFS(Datos!$G$2:$G$26103,Datos!$E$2:$E$26103,$A46,Datos!$B$2:$B$26103,15,Datos!$C$2:$C$26103,"&gt;=30",Datos!$F$2:$F$26103,"STANDBY"),0),"")</f>
        <v/>
      </c>
      <c r="R46" s="7">
        <f>IFERROR(ROUND(AVERAGEIFS(Datos!$G$2:$G$26103,Datos!$E$2:$E$26103,$A46,Datos!$B$2:$B$26103,16,Datos!$C$2:$C$26103,"&lt;30",Datos!$F$2:$F$26103,"STANDBY"),0),"")</f>
        <v/>
      </c>
      <c r="S46" s="7">
        <f>IFERROR(ROUND(AVERAGEIFS(Datos!$G$2:$G$26103,Datos!$E$2:$E$26103,$A46,Datos!$B$2:$B$26103,16,Datos!$C$2:$C$26103,"&gt;=30",Datos!$F$2:$F$26103,"STANDBY"),0),"")</f>
        <v/>
      </c>
      <c r="T46" s="7">
        <f>IFERROR(ROUND(AVERAGEIFS(Datos!$G$2:$G$26103,Datos!$E$2:$E$26103,$A46,Datos!$B$2:$B$26103,17,Datos!$C$2:$C$26103,"&lt;30",Datos!$F$2:$F$26103,"STANDBY"),0),"")</f>
        <v/>
      </c>
      <c r="U46" s="7">
        <f>IFERROR(ROUND(AVERAGEIFS(Datos!$G$2:$G$26103,Datos!$E$2:$E$26103,$A46,Datos!$B$2:$B$26103,17,Datos!$C$2:$C$26103,"&gt;=30",Datos!$F$2:$F$26103,"STANDBY"),0),"")</f>
        <v/>
      </c>
      <c r="V46" s="7">
        <f>IFERROR(ROUND(AVERAGEIFS(Datos!$G$2:$G$26103,Datos!$E$2:$E$26103,$A46,Datos!$B$2:$B$26103,18,Datos!$C$2:$C$26103,"&lt;30",Datos!$F$2:$F$26103,"STANDBY"),0),"")</f>
        <v/>
      </c>
      <c r="W46" s="7">
        <f>IFERROR(ROUND(AVERAGEIFS(Datos!$G$2:$G$26103,Datos!$E$2:$E$26103,$A46,Datos!$B$2:$B$26103,18,Datos!$C$2:$C$26103,"&gt;=30",Datos!$F$2:$F$26103,"STANDBY"),0),"")</f>
        <v/>
      </c>
      <c r="X46" s="7">
        <f>IFERROR(ROUND(AVERAGEIFS(Datos!$G$2:$G$26103,Datos!$E$2:$E$26103,$A46,Datos!$B$2:$B$26103,19,Datos!$C$2:$C$26103,"&lt;30",Datos!$F$2:$F$26103,"STANDBY"),0),"")</f>
        <v/>
      </c>
      <c r="Y46" s="7">
        <f>IFERROR(ROUND(AVERAGEIFS(Datos!$G$2:$G$26103,Datos!$E$2:$E$26103,$A46,Datos!$B$2:$B$26103,19,Datos!$C$2:$C$26103,"&gt;=30",Datos!$F$2:$F$26103,"STANDBY"),0),"")</f>
        <v/>
      </c>
      <c r="Z46" s="7">
        <f>IFERROR(ROUND(AVERAGEIFS(Datos!$G$2:$G$26103,Datos!$E$2:$E$26103,$A46,Datos!$B$2:$B$26103,20,Datos!$C$2:$C$26103,"&lt;30",Datos!$F$2:$F$26103,"STANDBY"),0),"")</f>
        <v/>
      </c>
      <c r="AA46" s="7">
        <f>IFERROR(ROUND(AVERAGEIFS(Datos!$G$2:$G$26103,Datos!$E$2:$E$26103,$A46,Datos!$B$2:$B$26103,20,Datos!$C$2:$C$26103,"&gt;=30",Datos!$F$2:$F$26103,"STANDBY"),0),"")</f>
        <v/>
      </c>
      <c r="AB46" s="7">
        <f>IFERROR(ROUND(AVERAGEIFS(Datos!$G$2:$G$26103,Datos!$E$2:$E$26103,$A46,Datos!$B$2:$B$26103,21,Datos!$C$2:$C$26103,"&lt;30",Datos!$F$2:$F$26103,"STANDBY"),0),"")</f>
        <v/>
      </c>
      <c r="AC46" s="7">
        <f>IFERROR(ROUND(AVERAGEIFS(Datos!$G$2:$G$26103,Datos!$E$2:$E$26103,$A46,Datos!$B$2:$B$26103,21,Datos!$C$2:$C$26103,"&gt;=30",Datos!$F$2:$F$26103,"STANDBY"),0),"")</f>
        <v/>
      </c>
      <c r="AD46" s="7">
        <f>IFERROR(ROUND(AVERAGEIFS(Datos!$G$2:$G$26103,Datos!$E$2:$E$26103,$A46,Datos!$B$2:$B$26103,22,Datos!$C$2:$C$26103,"&lt;30",Datos!$F$2:$F$26103,"STANDBY"),0),"")</f>
        <v/>
      </c>
      <c r="AE46" s="7">
        <f>IFERROR(ROUND(AVERAGEIFS(Datos!$G$2:$G$26103,Datos!$E$2:$E$26103,$A46,Datos!$B$2:$B$26103,22,Datos!$C$2:$C$26103,"&gt;=30",Datos!$F$2:$F$26103,"STANDBY"),0),"")</f>
        <v/>
      </c>
      <c r="AF46" s="7">
        <f>IFERROR(ROUND(AVERAGEIFS(Datos!$G$2:$G$26103,Datos!$E$2:$E$26103,$A46,Datos!$B$2:$B$26103,23,Datos!$C$2:$C$26103,"&lt;30",Datos!$F$2:$F$26103,"STANDBY"),0),"")</f>
        <v/>
      </c>
      <c r="AG46" s="7">
        <f>IFERROR(ROUND(AVERAGEIFS(Datos!$G$2:$G$26103,Datos!$E$2:$E$26103,$A46,Datos!$B$2:$B$26103,23,Datos!$C$2:$C$26103,"&gt;=30",Datos!$F$2:$F$26103,"STANDBY"),0),"")</f>
        <v/>
      </c>
    </row>
    <row r="47">
      <c r="A47" s="6" t="inlineStr">
        <is>
          <t>Les Voyages de Pinocchio</t>
        </is>
      </c>
      <c r="B47" s="7">
        <f>IFERROR(ROUND(AVERAGEIFS(Datos!$G$2:$G$26103,Datos!$E$2:$E$26103,$A47,Datos!$B$2:$B$26103,8,Datos!$C$2:$C$26103,"&lt;30",Datos!$F$2:$F$26103,"STANDBY"),0),"")</f>
        <v/>
      </c>
      <c r="C47" s="7">
        <f>IFERROR(ROUND(AVERAGEIFS(Datos!$G$2:$G$26103,Datos!$E$2:$E$26103,$A47,Datos!$B$2:$B$26103,8,Datos!$C$2:$C$26103,"&gt;=30",Datos!$F$2:$F$26103,"STANDBY"),0),"")</f>
        <v/>
      </c>
      <c r="D47" s="7">
        <f>IFERROR(ROUND(AVERAGEIFS(Datos!$G$2:$G$26103,Datos!$E$2:$E$26103,$A47,Datos!$B$2:$B$26103,9,Datos!$C$2:$C$26103,"&lt;30",Datos!$F$2:$F$26103,"STANDBY"),0),"")</f>
        <v/>
      </c>
      <c r="E47" s="7">
        <f>IFERROR(ROUND(AVERAGEIFS(Datos!$G$2:$G$26103,Datos!$E$2:$E$26103,$A47,Datos!$B$2:$B$26103,9,Datos!$C$2:$C$26103,"&gt;=30",Datos!$F$2:$F$26103,"STANDBY"),0),"")</f>
        <v/>
      </c>
      <c r="F47" s="7">
        <f>IFERROR(ROUND(AVERAGEIFS(Datos!$G$2:$G$26103,Datos!$E$2:$E$26103,$A47,Datos!$B$2:$B$26103,10,Datos!$C$2:$C$26103,"&lt;30",Datos!$F$2:$F$26103,"STANDBY"),0),"")</f>
        <v/>
      </c>
      <c r="G47" s="7">
        <f>IFERROR(ROUND(AVERAGEIFS(Datos!$G$2:$G$26103,Datos!$E$2:$E$26103,$A47,Datos!$B$2:$B$26103,10,Datos!$C$2:$C$26103,"&gt;=30",Datos!$F$2:$F$26103,"STANDBY"),0),"")</f>
        <v/>
      </c>
      <c r="H47" s="7">
        <f>IFERROR(ROUND(AVERAGEIFS(Datos!$G$2:$G$26103,Datos!$E$2:$E$26103,$A47,Datos!$B$2:$B$26103,11,Datos!$C$2:$C$26103,"&lt;30",Datos!$F$2:$F$26103,"STANDBY"),0),"")</f>
        <v/>
      </c>
      <c r="I47" s="7">
        <f>IFERROR(ROUND(AVERAGEIFS(Datos!$G$2:$G$26103,Datos!$E$2:$E$26103,$A47,Datos!$B$2:$B$26103,11,Datos!$C$2:$C$26103,"&gt;=30",Datos!$F$2:$F$26103,"STANDBY"),0),"")</f>
        <v/>
      </c>
      <c r="J47" s="7">
        <f>IFERROR(ROUND(AVERAGEIFS(Datos!$G$2:$G$26103,Datos!$E$2:$E$26103,$A47,Datos!$B$2:$B$26103,12,Datos!$C$2:$C$26103,"&lt;30",Datos!$F$2:$F$26103,"STANDBY"),0),"")</f>
        <v/>
      </c>
      <c r="K47" s="7">
        <f>IFERROR(ROUND(AVERAGEIFS(Datos!$G$2:$G$26103,Datos!$E$2:$E$26103,$A47,Datos!$B$2:$B$26103,12,Datos!$C$2:$C$26103,"&gt;=30",Datos!$F$2:$F$26103,"STANDBY"),0),"")</f>
        <v/>
      </c>
      <c r="L47" s="7">
        <f>IFERROR(ROUND(AVERAGEIFS(Datos!$G$2:$G$26103,Datos!$E$2:$E$26103,$A47,Datos!$B$2:$B$26103,13,Datos!$C$2:$C$26103,"&lt;30",Datos!$F$2:$F$26103,"STANDBY"),0),"")</f>
        <v/>
      </c>
      <c r="M47" s="7">
        <f>IFERROR(ROUND(AVERAGEIFS(Datos!$G$2:$G$26103,Datos!$E$2:$E$26103,$A47,Datos!$B$2:$B$26103,13,Datos!$C$2:$C$26103,"&gt;=30",Datos!$F$2:$F$26103,"STANDBY"),0),"")</f>
        <v/>
      </c>
      <c r="N47" s="7">
        <f>IFERROR(ROUND(AVERAGEIFS(Datos!$G$2:$G$26103,Datos!$E$2:$E$26103,$A47,Datos!$B$2:$B$26103,14,Datos!$C$2:$C$26103,"&lt;30",Datos!$F$2:$F$26103,"STANDBY"),0),"")</f>
        <v/>
      </c>
      <c r="O47" s="7">
        <f>IFERROR(ROUND(AVERAGEIFS(Datos!$G$2:$G$26103,Datos!$E$2:$E$26103,$A47,Datos!$B$2:$B$26103,14,Datos!$C$2:$C$26103,"&gt;=30",Datos!$F$2:$F$26103,"STANDBY"),0),"")</f>
        <v/>
      </c>
      <c r="P47" s="7">
        <f>IFERROR(ROUND(AVERAGEIFS(Datos!$G$2:$G$26103,Datos!$E$2:$E$26103,$A47,Datos!$B$2:$B$26103,15,Datos!$C$2:$C$26103,"&lt;30",Datos!$F$2:$F$26103,"STANDBY"),0),"")</f>
        <v/>
      </c>
      <c r="Q47" s="7">
        <f>IFERROR(ROUND(AVERAGEIFS(Datos!$G$2:$G$26103,Datos!$E$2:$E$26103,$A47,Datos!$B$2:$B$26103,15,Datos!$C$2:$C$26103,"&gt;=30",Datos!$F$2:$F$26103,"STANDBY"),0),"")</f>
        <v/>
      </c>
      <c r="R47" s="7">
        <f>IFERROR(ROUND(AVERAGEIFS(Datos!$G$2:$G$26103,Datos!$E$2:$E$26103,$A47,Datos!$B$2:$B$26103,16,Datos!$C$2:$C$26103,"&lt;30",Datos!$F$2:$F$26103,"STANDBY"),0),"")</f>
        <v/>
      </c>
      <c r="S47" s="7">
        <f>IFERROR(ROUND(AVERAGEIFS(Datos!$G$2:$G$26103,Datos!$E$2:$E$26103,$A47,Datos!$B$2:$B$26103,16,Datos!$C$2:$C$26103,"&gt;=30",Datos!$F$2:$F$26103,"STANDBY"),0),"")</f>
        <v/>
      </c>
      <c r="T47" s="7">
        <f>IFERROR(ROUND(AVERAGEIFS(Datos!$G$2:$G$26103,Datos!$E$2:$E$26103,$A47,Datos!$B$2:$B$26103,17,Datos!$C$2:$C$26103,"&lt;30",Datos!$F$2:$F$26103,"STANDBY"),0),"")</f>
        <v/>
      </c>
      <c r="U47" s="7">
        <f>IFERROR(ROUND(AVERAGEIFS(Datos!$G$2:$G$26103,Datos!$E$2:$E$26103,$A47,Datos!$B$2:$B$26103,17,Datos!$C$2:$C$26103,"&gt;=30",Datos!$F$2:$F$26103,"STANDBY"),0),"")</f>
        <v/>
      </c>
      <c r="V47" s="7">
        <f>IFERROR(ROUND(AVERAGEIFS(Datos!$G$2:$G$26103,Datos!$E$2:$E$26103,$A47,Datos!$B$2:$B$26103,18,Datos!$C$2:$C$26103,"&lt;30",Datos!$F$2:$F$26103,"STANDBY"),0),"")</f>
        <v/>
      </c>
      <c r="W47" s="7">
        <f>IFERROR(ROUND(AVERAGEIFS(Datos!$G$2:$G$26103,Datos!$E$2:$E$26103,$A47,Datos!$B$2:$B$26103,18,Datos!$C$2:$C$26103,"&gt;=30",Datos!$F$2:$F$26103,"STANDBY"),0),"")</f>
        <v/>
      </c>
      <c r="X47" s="7">
        <f>IFERROR(ROUND(AVERAGEIFS(Datos!$G$2:$G$26103,Datos!$E$2:$E$26103,$A47,Datos!$B$2:$B$26103,19,Datos!$C$2:$C$26103,"&lt;30",Datos!$F$2:$F$26103,"STANDBY"),0),"")</f>
        <v/>
      </c>
      <c r="Y47" s="7">
        <f>IFERROR(ROUND(AVERAGEIFS(Datos!$G$2:$G$26103,Datos!$E$2:$E$26103,$A47,Datos!$B$2:$B$26103,19,Datos!$C$2:$C$26103,"&gt;=30",Datos!$F$2:$F$26103,"STANDBY"),0),"")</f>
        <v/>
      </c>
      <c r="Z47" s="7">
        <f>IFERROR(ROUND(AVERAGEIFS(Datos!$G$2:$G$26103,Datos!$E$2:$E$26103,$A47,Datos!$B$2:$B$26103,20,Datos!$C$2:$C$26103,"&lt;30",Datos!$F$2:$F$26103,"STANDBY"),0),"")</f>
        <v/>
      </c>
      <c r="AA47" s="7">
        <f>IFERROR(ROUND(AVERAGEIFS(Datos!$G$2:$G$26103,Datos!$E$2:$E$26103,$A47,Datos!$B$2:$B$26103,20,Datos!$C$2:$C$26103,"&gt;=30",Datos!$F$2:$F$26103,"STANDBY"),0),"")</f>
        <v/>
      </c>
      <c r="AB47" s="7">
        <f>IFERROR(ROUND(AVERAGEIFS(Datos!$G$2:$G$26103,Datos!$E$2:$E$26103,$A47,Datos!$B$2:$B$26103,21,Datos!$C$2:$C$26103,"&lt;30",Datos!$F$2:$F$26103,"STANDBY"),0),"")</f>
        <v/>
      </c>
      <c r="AC47" s="7">
        <f>IFERROR(ROUND(AVERAGEIFS(Datos!$G$2:$G$26103,Datos!$E$2:$E$26103,$A47,Datos!$B$2:$B$26103,21,Datos!$C$2:$C$26103,"&gt;=30",Datos!$F$2:$F$26103,"STANDBY"),0),"")</f>
        <v/>
      </c>
      <c r="AD47" s="7">
        <f>IFERROR(ROUND(AVERAGEIFS(Datos!$G$2:$G$26103,Datos!$E$2:$E$26103,$A47,Datos!$B$2:$B$26103,22,Datos!$C$2:$C$26103,"&lt;30",Datos!$F$2:$F$26103,"STANDBY"),0),"")</f>
        <v/>
      </c>
      <c r="AE47" s="7">
        <f>IFERROR(ROUND(AVERAGEIFS(Datos!$G$2:$G$26103,Datos!$E$2:$E$26103,$A47,Datos!$B$2:$B$26103,22,Datos!$C$2:$C$26103,"&gt;=30",Datos!$F$2:$F$26103,"STANDBY"),0),"")</f>
        <v/>
      </c>
      <c r="AF47" s="7">
        <f>IFERROR(ROUND(AVERAGEIFS(Datos!$G$2:$G$26103,Datos!$E$2:$E$26103,$A47,Datos!$B$2:$B$26103,23,Datos!$C$2:$C$26103,"&lt;30",Datos!$F$2:$F$26103,"STANDBY"),0),"")</f>
        <v/>
      </c>
      <c r="AG47" s="7">
        <f>IFERROR(ROUND(AVERAGEIFS(Datos!$G$2:$G$26103,Datos!$E$2:$E$26103,$A47,Datos!$B$2:$B$26103,23,Datos!$C$2:$C$26103,"&gt;=30",Datos!$F$2:$F$26103,"STANDBY"),0),"")</f>
        <v/>
      </c>
    </row>
    <row r="48">
      <c r="A48" s="6" t="inlineStr">
        <is>
          <t>Mad Hatter's Tea Cups</t>
        </is>
      </c>
      <c r="B48" s="7">
        <f>IFERROR(ROUND(AVERAGEIFS(Datos!$G$2:$G$26103,Datos!$E$2:$E$26103,$A48,Datos!$B$2:$B$26103,8,Datos!$C$2:$C$26103,"&lt;30",Datos!$F$2:$F$26103,"STANDBY"),0),"")</f>
        <v/>
      </c>
      <c r="C48" s="7">
        <f>IFERROR(ROUND(AVERAGEIFS(Datos!$G$2:$G$26103,Datos!$E$2:$E$26103,$A48,Datos!$B$2:$B$26103,8,Datos!$C$2:$C$26103,"&gt;=30",Datos!$F$2:$F$26103,"STANDBY"),0),"")</f>
        <v/>
      </c>
      <c r="D48" s="7">
        <f>IFERROR(ROUND(AVERAGEIFS(Datos!$G$2:$G$26103,Datos!$E$2:$E$26103,$A48,Datos!$B$2:$B$26103,9,Datos!$C$2:$C$26103,"&lt;30",Datos!$F$2:$F$26103,"STANDBY"),0),"")</f>
        <v/>
      </c>
      <c r="E48" s="7">
        <f>IFERROR(ROUND(AVERAGEIFS(Datos!$G$2:$G$26103,Datos!$E$2:$E$26103,$A48,Datos!$B$2:$B$26103,9,Datos!$C$2:$C$26103,"&gt;=30",Datos!$F$2:$F$26103,"STANDBY"),0),"")</f>
        <v/>
      </c>
      <c r="F48" s="7">
        <f>IFERROR(ROUND(AVERAGEIFS(Datos!$G$2:$G$26103,Datos!$E$2:$E$26103,$A48,Datos!$B$2:$B$26103,10,Datos!$C$2:$C$26103,"&lt;30",Datos!$F$2:$F$26103,"STANDBY"),0),"")</f>
        <v/>
      </c>
      <c r="G48" s="7">
        <f>IFERROR(ROUND(AVERAGEIFS(Datos!$G$2:$G$26103,Datos!$E$2:$E$26103,$A48,Datos!$B$2:$B$26103,10,Datos!$C$2:$C$26103,"&gt;=30",Datos!$F$2:$F$26103,"STANDBY"),0),"")</f>
        <v/>
      </c>
      <c r="H48" s="7">
        <f>IFERROR(ROUND(AVERAGEIFS(Datos!$G$2:$G$26103,Datos!$E$2:$E$26103,$A48,Datos!$B$2:$B$26103,11,Datos!$C$2:$C$26103,"&lt;30",Datos!$F$2:$F$26103,"STANDBY"),0),"")</f>
        <v/>
      </c>
      <c r="I48" s="7">
        <f>IFERROR(ROUND(AVERAGEIFS(Datos!$G$2:$G$26103,Datos!$E$2:$E$26103,$A48,Datos!$B$2:$B$26103,11,Datos!$C$2:$C$26103,"&gt;=30",Datos!$F$2:$F$26103,"STANDBY"),0),"")</f>
        <v/>
      </c>
      <c r="J48" s="7">
        <f>IFERROR(ROUND(AVERAGEIFS(Datos!$G$2:$G$26103,Datos!$E$2:$E$26103,$A48,Datos!$B$2:$B$26103,12,Datos!$C$2:$C$26103,"&lt;30",Datos!$F$2:$F$26103,"STANDBY"),0),"")</f>
        <v/>
      </c>
      <c r="K48" s="7">
        <f>IFERROR(ROUND(AVERAGEIFS(Datos!$G$2:$G$26103,Datos!$E$2:$E$26103,$A48,Datos!$B$2:$B$26103,12,Datos!$C$2:$C$26103,"&gt;=30",Datos!$F$2:$F$26103,"STANDBY"),0),"")</f>
        <v/>
      </c>
      <c r="L48" s="7">
        <f>IFERROR(ROUND(AVERAGEIFS(Datos!$G$2:$G$26103,Datos!$E$2:$E$26103,$A48,Datos!$B$2:$B$26103,13,Datos!$C$2:$C$26103,"&lt;30",Datos!$F$2:$F$26103,"STANDBY"),0),"")</f>
        <v/>
      </c>
      <c r="M48" s="7">
        <f>IFERROR(ROUND(AVERAGEIFS(Datos!$G$2:$G$26103,Datos!$E$2:$E$26103,$A48,Datos!$B$2:$B$26103,13,Datos!$C$2:$C$26103,"&gt;=30",Datos!$F$2:$F$26103,"STANDBY"),0),"")</f>
        <v/>
      </c>
      <c r="N48" s="7">
        <f>IFERROR(ROUND(AVERAGEIFS(Datos!$G$2:$G$26103,Datos!$E$2:$E$26103,$A48,Datos!$B$2:$B$26103,14,Datos!$C$2:$C$26103,"&lt;30",Datos!$F$2:$F$26103,"STANDBY"),0),"")</f>
        <v/>
      </c>
      <c r="O48" s="7">
        <f>IFERROR(ROUND(AVERAGEIFS(Datos!$G$2:$G$26103,Datos!$E$2:$E$26103,$A48,Datos!$B$2:$B$26103,14,Datos!$C$2:$C$26103,"&gt;=30",Datos!$F$2:$F$26103,"STANDBY"),0),"")</f>
        <v/>
      </c>
      <c r="P48" s="7">
        <f>IFERROR(ROUND(AVERAGEIFS(Datos!$G$2:$G$26103,Datos!$E$2:$E$26103,$A48,Datos!$B$2:$B$26103,15,Datos!$C$2:$C$26103,"&lt;30",Datos!$F$2:$F$26103,"STANDBY"),0),"")</f>
        <v/>
      </c>
      <c r="Q48" s="7">
        <f>IFERROR(ROUND(AVERAGEIFS(Datos!$G$2:$G$26103,Datos!$E$2:$E$26103,$A48,Datos!$B$2:$B$26103,15,Datos!$C$2:$C$26103,"&gt;=30",Datos!$F$2:$F$26103,"STANDBY"),0),"")</f>
        <v/>
      </c>
      <c r="R48" s="7">
        <f>IFERROR(ROUND(AVERAGEIFS(Datos!$G$2:$G$26103,Datos!$E$2:$E$26103,$A48,Datos!$B$2:$B$26103,16,Datos!$C$2:$C$26103,"&lt;30",Datos!$F$2:$F$26103,"STANDBY"),0),"")</f>
        <v/>
      </c>
      <c r="S48" s="7">
        <f>IFERROR(ROUND(AVERAGEIFS(Datos!$G$2:$G$26103,Datos!$E$2:$E$26103,$A48,Datos!$B$2:$B$26103,16,Datos!$C$2:$C$26103,"&gt;=30",Datos!$F$2:$F$26103,"STANDBY"),0),"")</f>
        <v/>
      </c>
      <c r="T48" s="7">
        <f>IFERROR(ROUND(AVERAGEIFS(Datos!$G$2:$G$26103,Datos!$E$2:$E$26103,$A48,Datos!$B$2:$B$26103,17,Datos!$C$2:$C$26103,"&lt;30",Datos!$F$2:$F$26103,"STANDBY"),0),"")</f>
        <v/>
      </c>
      <c r="U48" s="7">
        <f>IFERROR(ROUND(AVERAGEIFS(Datos!$G$2:$G$26103,Datos!$E$2:$E$26103,$A48,Datos!$B$2:$B$26103,17,Datos!$C$2:$C$26103,"&gt;=30",Datos!$F$2:$F$26103,"STANDBY"),0),"")</f>
        <v/>
      </c>
      <c r="V48" s="7">
        <f>IFERROR(ROUND(AVERAGEIFS(Datos!$G$2:$G$26103,Datos!$E$2:$E$26103,$A48,Datos!$B$2:$B$26103,18,Datos!$C$2:$C$26103,"&lt;30",Datos!$F$2:$F$26103,"STANDBY"),0),"")</f>
        <v/>
      </c>
      <c r="W48" s="7">
        <f>IFERROR(ROUND(AVERAGEIFS(Datos!$G$2:$G$26103,Datos!$E$2:$E$26103,$A48,Datos!$B$2:$B$26103,18,Datos!$C$2:$C$26103,"&gt;=30",Datos!$F$2:$F$26103,"STANDBY"),0),"")</f>
        <v/>
      </c>
      <c r="X48" s="7">
        <f>IFERROR(ROUND(AVERAGEIFS(Datos!$G$2:$G$26103,Datos!$E$2:$E$26103,$A48,Datos!$B$2:$B$26103,19,Datos!$C$2:$C$26103,"&lt;30",Datos!$F$2:$F$26103,"STANDBY"),0),"")</f>
        <v/>
      </c>
      <c r="Y48" s="7">
        <f>IFERROR(ROUND(AVERAGEIFS(Datos!$G$2:$G$26103,Datos!$E$2:$E$26103,$A48,Datos!$B$2:$B$26103,19,Datos!$C$2:$C$26103,"&gt;=30",Datos!$F$2:$F$26103,"STANDBY"),0),"")</f>
        <v/>
      </c>
      <c r="Z48" s="7">
        <f>IFERROR(ROUND(AVERAGEIFS(Datos!$G$2:$G$26103,Datos!$E$2:$E$26103,$A48,Datos!$B$2:$B$26103,20,Datos!$C$2:$C$26103,"&lt;30",Datos!$F$2:$F$26103,"STANDBY"),0),"")</f>
        <v/>
      </c>
      <c r="AA48" s="7">
        <f>IFERROR(ROUND(AVERAGEIFS(Datos!$G$2:$G$26103,Datos!$E$2:$E$26103,$A48,Datos!$B$2:$B$26103,20,Datos!$C$2:$C$26103,"&gt;=30",Datos!$F$2:$F$26103,"STANDBY"),0),"")</f>
        <v/>
      </c>
      <c r="AB48" s="7">
        <f>IFERROR(ROUND(AVERAGEIFS(Datos!$G$2:$G$26103,Datos!$E$2:$E$26103,$A48,Datos!$B$2:$B$26103,21,Datos!$C$2:$C$26103,"&lt;30",Datos!$F$2:$F$26103,"STANDBY"),0),"")</f>
        <v/>
      </c>
      <c r="AC48" s="7">
        <f>IFERROR(ROUND(AVERAGEIFS(Datos!$G$2:$G$26103,Datos!$E$2:$E$26103,$A48,Datos!$B$2:$B$26103,21,Datos!$C$2:$C$26103,"&gt;=30",Datos!$F$2:$F$26103,"STANDBY"),0),"")</f>
        <v/>
      </c>
      <c r="AD48" s="7">
        <f>IFERROR(ROUND(AVERAGEIFS(Datos!$G$2:$G$26103,Datos!$E$2:$E$26103,$A48,Datos!$B$2:$B$26103,22,Datos!$C$2:$C$26103,"&lt;30",Datos!$F$2:$F$26103,"STANDBY"),0),"")</f>
        <v/>
      </c>
      <c r="AE48" s="7">
        <f>IFERROR(ROUND(AVERAGEIFS(Datos!$G$2:$G$26103,Datos!$E$2:$E$26103,$A48,Datos!$B$2:$B$26103,22,Datos!$C$2:$C$26103,"&gt;=30",Datos!$F$2:$F$26103,"STANDBY"),0),"")</f>
        <v/>
      </c>
      <c r="AF48" s="7">
        <f>IFERROR(ROUND(AVERAGEIFS(Datos!$G$2:$G$26103,Datos!$E$2:$E$26103,$A48,Datos!$B$2:$B$26103,23,Datos!$C$2:$C$26103,"&lt;30",Datos!$F$2:$F$26103,"STANDBY"),0),"")</f>
        <v/>
      </c>
      <c r="AG48" s="7">
        <f>IFERROR(ROUND(AVERAGEIFS(Datos!$G$2:$G$26103,Datos!$E$2:$E$26103,$A48,Datos!$B$2:$B$26103,23,Datos!$C$2:$C$26103,"&gt;=30",Datos!$F$2:$F$26103,"STANDBY"),0),"")</f>
        <v/>
      </c>
    </row>
    <row r="49">
      <c r="A49" s="6" t="inlineStr">
        <is>
          <t>Main Street Vehicles</t>
        </is>
      </c>
      <c r="B49" s="7">
        <f>IFERROR(ROUND(AVERAGEIFS(Datos!$G$2:$G$26103,Datos!$E$2:$E$26103,$A49,Datos!$B$2:$B$26103,8,Datos!$C$2:$C$26103,"&lt;30",Datos!$F$2:$F$26103,"STANDBY"),0),"")</f>
        <v/>
      </c>
      <c r="C49" s="7">
        <f>IFERROR(ROUND(AVERAGEIFS(Datos!$G$2:$G$26103,Datos!$E$2:$E$26103,$A49,Datos!$B$2:$B$26103,8,Datos!$C$2:$C$26103,"&gt;=30",Datos!$F$2:$F$26103,"STANDBY"),0),"")</f>
        <v/>
      </c>
      <c r="D49" s="7">
        <f>IFERROR(ROUND(AVERAGEIFS(Datos!$G$2:$G$26103,Datos!$E$2:$E$26103,$A49,Datos!$B$2:$B$26103,9,Datos!$C$2:$C$26103,"&lt;30",Datos!$F$2:$F$26103,"STANDBY"),0),"")</f>
        <v/>
      </c>
      <c r="E49" s="7">
        <f>IFERROR(ROUND(AVERAGEIFS(Datos!$G$2:$G$26103,Datos!$E$2:$E$26103,$A49,Datos!$B$2:$B$26103,9,Datos!$C$2:$C$26103,"&gt;=30",Datos!$F$2:$F$26103,"STANDBY"),0),"")</f>
        <v/>
      </c>
      <c r="F49" s="7">
        <f>IFERROR(ROUND(AVERAGEIFS(Datos!$G$2:$G$26103,Datos!$E$2:$E$26103,$A49,Datos!$B$2:$B$26103,10,Datos!$C$2:$C$26103,"&lt;30",Datos!$F$2:$F$26103,"STANDBY"),0),"")</f>
        <v/>
      </c>
      <c r="G49" s="7">
        <f>IFERROR(ROUND(AVERAGEIFS(Datos!$G$2:$G$26103,Datos!$E$2:$E$26103,$A49,Datos!$B$2:$B$26103,10,Datos!$C$2:$C$26103,"&gt;=30",Datos!$F$2:$F$26103,"STANDBY"),0),"")</f>
        <v/>
      </c>
      <c r="H49" s="7">
        <f>IFERROR(ROUND(AVERAGEIFS(Datos!$G$2:$G$26103,Datos!$E$2:$E$26103,$A49,Datos!$B$2:$B$26103,11,Datos!$C$2:$C$26103,"&lt;30",Datos!$F$2:$F$26103,"STANDBY"),0),"")</f>
        <v/>
      </c>
      <c r="I49" s="7">
        <f>IFERROR(ROUND(AVERAGEIFS(Datos!$G$2:$G$26103,Datos!$E$2:$E$26103,$A49,Datos!$B$2:$B$26103,11,Datos!$C$2:$C$26103,"&gt;=30",Datos!$F$2:$F$26103,"STANDBY"),0),"")</f>
        <v/>
      </c>
      <c r="J49" s="7">
        <f>IFERROR(ROUND(AVERAGEIFS(Datos!$G$2:$G$26103,Datos!$E$2:$E$26103,$A49,Datos!$B$2:$B$26103,12,Datos!$C$2:$C$26103,"&lt;30",Datos!$F$2:$F$26103,"STANDBY"),0),"")</f>
        <v/>
      </c>
      <c r="K49" s="7">
        <f>IFERROR(ROUND(AVERAGEIFS(Datos!$G$2:$G$26103,Datos!$E$2:$E$26103,$A49,Datos!$B$2:$B$26103,12,Datos!$C$2:$C$26103,"&gt;=30",Datos!$F$2:$F$26103,"STANDBY"),0),"")</f>
        <v/>
      </c>
      <c r="L49" s="7">
        <f>IFERROR(ROUND(AVERAGEIFS(Datos!$G$2:$G$26103,Datos!$E$2:$E$26103,$A49,Datos!$B$2:$B$26103,13,Datos!$C$2:$C$26103,"&lt;30",Datos!$F$2:$F$26103,"STANDBY"),0),"")</f>
        <v/>
      </c>
      <c r="M49" s="7">
        <f>IFERROR(ROUND(AVERAGEIFS(Datos!$G$2:$G$26103,Datos!$E$2:$E$26103,$A49,Datos!$B$2:$B$26103,13,Datos!$C$2:$C$26103,"&gt;=30",Datos!$F$2:$F$26103,"STANDBY"),0),"")</f>
        <v/>
      </c>
      <c r="N49" s="7">
        <f>IFERROR(ROUND(AVERAGEIFS(Datos!$G$2:$G$26103,Datos!$E$2:$E$26103,$A49,Datos!$B$2:$B$26103,14,Datos!$C$2:$C$26103,"&lt;30",Datos!$F$2:$F$26103,"STANDBY"),0),"")</f>
        <v/>
      </c>
      <c r="O49" s="7">
        <f>IFERROR(ROUND(AVERAGEIFS(Datos!$G$2:$G$26103,Datos!$E$2:$E$26103,$A49,Datos!$B$2:$B$26103,14,Datos!$C$2:$C$26103,"&gt;=30",Datos!$F$2:$F$26103,"STANDBY"),0),"")</f>
        <v/>
      </c>
      <c r="P49" s="7">
        <f>IFERROR(ROUND(AVERAGEIFS(Datos!$G$2:$G$26103,Datos!$E$2:$E$26103,$A49,Datos!$B$2:$B$26103,15,Datos!$C$2:$C$26103,"&lt;30",Datos!$F$2:$F$26103,"STANDBY"),0),"")</f>
        <v/>
      </c>
      <c r="Q49" s="7">
        <f>IFERROR(ROUND(AVERAGEIFS(Datos!$G$2:$G$26103,Datos!$E$2:$E$26103,$A49,Datos!$B$2:$B$26103,15,Datos!$C$2:$C$26103,"&gt;=30",Datos!$F$2:$F$26103,"STANDBY"),0),"")</f>
        <v/>
      </c>
      <c r="R49" s="7">
        <f>IFERROR(ROUND(AVERAGEIFS(Datos!$G$2:$G$26103,Datos!$E$2:$E$26103,$A49,Datos!$B$2:$B$26103,16,Datos!$C$2:$C$26103,"&lt;30",Datos!$F$2:$F$26103,"STANDBY"),0),"")</f>
        <v/>
      </c>
      <c r="S49" s="7">
        <f>IFERROR(ROUND(AVERAGEIFS(Datos!$G$2:$G$26103,Datos!$E$2:$E$26103,$A49,Datos!$B$2:$B$26103,16,Datos!$C$2:$C$26103,"&gt;=30",Datos!$F$2:$F$26103,"STANDBY"),0),"")</f>
        <v/>
      </c>
      <c r="T49" s="7">
        <f>IFERROR(ROUND(AVERAGEIFS(Datos!$G$2:$G$26103,Datos!$E$2:$E$26103,$A49,Datos!$B$2:$B$26103,17,Datos!$C$2:$C$26103,"&lt;30",Datos!$F$2:$F$26103,"STANDBY"),0),"")</f>
        <v/>
      </c>
      <c r="U49" s="7">
        <f>IFERROR(ROUND(AVERAGEIFS(Datos!$G$2:$G$26103,Datos!$E$2:$E$26103,$A49,Datos!$B$2:$B$26103,17,Datos!$C$2:$C$26103,"&gt;=30",Datos!$F$2:$F$26103,"STANDBY"),0),"")</f>
        <v/>
      </c>
      <c r="V49" s="7">
        <f>IFERROR(ROUND(AVERAGEIFS(Datos!$G$2:$G$26103,Datos!$E$2:$E$26103,$A49,Datos!$B$2:$B$26103,18,Datos!$C$2:$C$26103,"&lt;30",Datos!$F$2:$F$26103,"STANDBY"),0),"")</f>
        <v/>
      </c>
      <c r="W49" s="7">
        <f>IFERROR(ROUND(AVERAGEIFS(Datos!$G$2:$G$26103,Datos!$E$2:$E$26103,$A49,Datos!$B$2:$B$26103,18,Datos!$C$2:$C$26103,"&gt;=30",Datos!$F$2:$F$26103,"STANDBY"),0),"")</f>
        <v/>
      </c>
      <c r="X49" s="7">
        <f>IFERROR(ROUND(AVERAGEIFS(Datos!$G$2:$G$26103,Datos!$E$2:$E$26103,$A49,Datos!$B$2:$B$26103,19,Datos!$C$2:$C$26103,"&lt;30",Datos!$F$2:$F$26103,"STANDBY"),0),"")</f>
        <v/>
      </c>
      <c r="Y49" s="7">
        <f>IFERROR(ROUND(AVERAGEIFS(Datos!$G$2:$G$26103,Datos!$E$2:$E$26103,$A49,Datos!$B$2:$B$26103,19,Datos!$C$2:$C$26103,"&gt;=30",Datos!$F$2:$F$26103,"STANDBY"),0),"")</f>
        <v/>
      </c>
      <c r="Z49" s="7">
        <f>IFERROR(ROUND(AVERAGEIFS(Datos!$G$2:$G$26103,Datos!$E$2:$E$26103,$A49,Datos!$B$2:$B$26103,20,Datos!$C$2:$C$26103,"&lt;30",Datos!$F$2:$F$26103,"STANDBY"),0),"")</f>
        <v/>
      </c>
      <c r="AA49" s="7">
        <f>IFERROR(ROUND(AVERAGEIFS(Datos!$G$2:$G$26103,Datos!$E$2:$E$26103,$A49,Datos!$B$2:$B$26103,20,Datos!$C$2:$C$26103,"&gt;=30",Datos!$F$2:$F$26103,"STANDBY"),0),"")</f>
        <v/>
      </c>
      <c r="AB49" s="7">
        <f>IFERROR(ROUND(AVERAGEIFS(Datos!$G$2:$G$26103,Datos!$E$2:$E$26103,$A49,Datos!$B$2:$B$26103,21,Datos!$C$2:$C$26103,"&lt;30",Datos!$F$2:$F$26103,"STANDBY"),0),"")</f>
        <v/>
      </c>
      <c r="AC49" s="7">
        <f>IFERROR(ROUND(AVERAGEIFS(Datos!$G$2:$G$26103,Datos!$E$2:$E$26103,$A49,Datos!$B$2:$B$26103,21,Datos!$C$2:$C$26103,"&gt;=30",Datos!$F$2:$F$26103,"STANDBY"),0),"")</f>
        <v/>
      </c>
      <c r="AD49" s="7">
        <f>IFERROR(ROUND(AVERAGEIFS(Datos!$G$2:$G$26103,Datos!$E$2:$E$26103,$A49,Datos!$B$2:$B$26103,22,Datos!$C$2:$C$26103,"&lt;30",Datos!$F$2:$F$26103,"STANDBY"),0),"")</f>
        <v/>
      </c>
      <c r="AE49" s="7">
        <f>IFERROR(ROUND(AVERAGEIFS(Datos!$G$2:$G$26103,Datos!$E$2:$E$26103,$A49,Datos!$B$2:$B$26103,22,Datos!$C$2:$C$26103,"&gt;=30",Datos!$F$2:$F$26103,"STANDBY"),0),"")</f>
        <v/>
      </c>
      <c r="AF49" s="7">
        <f>IFERROR(ROUND(AVERAGEIFS(Datos!$G$2:$G$26103,Datos!$E$2:$E$26103,$A49,Datos!$B$2:$B$26103,23,Datos!$C$2:$C$26103,"&lt;30",Datos!$F$2:$F$26103,"STANDBY"),0),"")</f>
        <v/>
      </c>
      <c r="AG49" s="7">
        <f>IFERROR(ROUND(AVERAGEIFS(Datos!$G$2:$G$26103,Datos!$E$2:$E$26103,$A49,Datos!$B$2:$B$26103,23,Datos!$C$2:$C$26103,"&gt;=30",Datos!$F$2:$F$26103,"STANDBY"),0),"")</f>
        <v/>
      </c>
    </row>
    <row r="50">
      <c r="A50" s="6" t="inlineStr">
        <is>
          <t>Meet Mickey Mouse</t>
        </is>
      </c>
      <c r="B50" s="7">
        <f>IFERROR(ROUND(AVERAGEIFS(Datos!$G$2:$G$26103,Datos!$E$2:$E$26103,$A50,Datos!$B$2:$B$26103,8,Datos!$C$2:$C$26103,"&lt;30",Datos!$F$2:$F$26103,"STANDBY"),0),"")</f>
        <v/>
      </c>
      <c r="C50" s="7">
        <f>IFERROR(ROUND(AVERAGEIFS(Datos!$G$2:$G$26103,Datos!$E$2:$E$26103,$A50,Datos!$B$2:$B$26103,8,Datos!$C$2:$C$26103,"&gt;=30",Datos!$F$2:$F$26103,"STANDBY"),0),"")</f>
        <v/>
      </c>
      <c r="D50" s="7">
        <f>IFERROR(ROUND(AVERAGEIFS(Datos!$G$2:$G$26103,Datos!$E$2:$E$26103,$A50,Datos!$B$2:$B$26103,9,Datos!$C$2:$C$26103,"&lt;30",Datos!$F$2:$F$26103,"STANDBY"),0),"")</f>
        <v/>
      </c>
      <c r="E50" s="7">
        <f>IFERROR(ROUND(AVERAGEIFS(Datos!$G$2:$G$26103,Datos!$E$2:$E$26103,$A50,Datos!$B$2:$B$26103,9,Datos!$C$2:$C$26103,"&gt;=30",Datos!$F$2:$F$26103,"STANDBY"),0),"")</f>
        <v/>
      </c>
      <c r="F50" s="7">
        <f>IFERROR(ROUND(AVERAGEIFS(Datos!$G$2:$G$26103,Datos!$E$2:$E$26103,$A50,Datos!$B$2:$B$26103,10,Datos!$C$2:$C$26103,"&lt;30",Datos!$F$2:$F$26103,"STANDBY"),0),"")</f>
        <v/>
      </c>
      <c r="G50" s="7">
        <f>IFERROR(ROUND(AVERAGEIFS(Datos!$G$2:$G$26103,Datos!$E$2:$E$26103,$A50,Datos!$B$2:$B$26103,10,Datos!$C$2:$C$26103,"&gt;=30",Datos!$F$2:$F$26103,"STANDBY"),0),"")</f>
        <v/>
      </c>
      <c r="H50" s="7">
        <f>IFERROR(ROUND(AVERAGEIFS(Datos!$G$2:$G$26103,Datos!$E$2:$E$26103,$A50,Datos!$B$2:$B$26103,11,Datos!$C$2:$C$26103,"&lt;30",Datos!$F$2:$F$26103,"STANDBY"),0),"")</f>
        <v/>
      </c>
      <c r="I50" s="7">
        <f>IFERROR(ROUND(AVERAGEIFS(Datos!$G$2:$G$26103,Datos!$E$2:$E$26103,$A50,Datos!$B$2:$B$26103,11,Datos!$C$2:$C$26103,"&gt;=30",Datos!$F$2:$F$26103,"STANDBY"),0),"")</f>
        <v/>
      </c>
      <c r="J50" s="7">
        <f>IFERROR(ROUND(AVERAGEIFS(Datos!$G$2:$G$26103,Datos!$E$2:$E$26103,$A50,Datos!$B$2:$B$26103,12,Datos!$C$2:$C$26103,"&lt;30",Datos!$F$2:$F$26103,"STANDBY"),0),"")</f>
        <v/>
      </c>
      <c r="K50" s="7">
        <f>IFERROR(ROUND(AVERAGEIFS(Datos!$G$2:$G$26103,Datos!$E$2:$E$26103,$A50,Datos!$B$2:$B$26103,12,Datos!$C$2:$C$26103,"&gt;=30",Datos!$F$2:$F$26103,"STANDBY"),0),"")</f>
        <v/>
      </c>
      <c r="L50" s="7">
        <f>IFERROR(ROUND(AVERAGEIFS(Datos!$G$2:$G$26103,Datos!$E$2:$E$26103,$A50,Datos!$B$2:$B$26103,13,Datos!$C$2:$C$26103,"&lt;30",Datos!$F$2:$F$26103,"STANDBY"),0),"")</f>
        <v/>
      </c>
      <c r="M50" s="7">
        <f>IFERROR(ROUND(AVERAGEIFS(Datos!$G$2:$G$26103,Datos!$E$2:$E$26103,$A50,Datos!$B$2:$B$26103,13,Datos!$C$2:$C$26103,"&gt;=30",Datos!$F$2:$F$26103,"STANDBY"),0),"")</f>
        <v/>
      </c>
      <c r="N50" s="7">
        <f>IFERROR(ROUND(AVERAGEIFS(Datos!$G$2:$G$26103,Datos!$E$2:$E$26103,$A50,Datos!$B$2:$B$26103,14,Datos!$C$2:$C$26103,"&lt;30",Datos!$F$2:$F$26103,"STANDBY"),0),"")</f>
        <v/>
      </c>
      <c r="O50" s="7">
        <f>IFERROR(ROUND(AVERAGEIFS(Datos!$G$2:$G$26103,Datos!$E$2:$E$26103,$A50,Datos!$B$2:$B$26103,14,Datos!$C$2:$C$26103,"&gt;=30",Datos!$F$2:$F$26103,"STANDBY"),0),"")</f>
        <v/>
      </c>
      <c r="P50" s="7">
        <f>IFERROR(ROUND(AVERAGEIFS(Datos!$G$2:$G$26103,Datos!$E$2:$E$26103,$A50,Datos!$B$2:$B$26103,15,Datos!$C$2:$C$26103,"&lt;30",Datos!$F$2:$F$26103,"STANDBY"),0),"")</f>
        <v/>
      </c>
      <c r="Q50" s="7">
        <f>IFERROR(ROUND(AVERAGEIFS(Datos!$G$2:$G$26103,Datos!$E$2:$E$26103,$A50,Datos!$B$2:$B$26103,15,Datos!$C$2:$C$26103,"&gt;=30",Datos!$F$2:$F$26103,"STANDBY"),0),"")</f>
        <v/>
      </c>
      <c r="R50" s="7">
        <f>IFERROR(ROUND(AVERAGEIFS(Datos!$G$2:$G$26103,Datos!$E$2:$E$26103,$A50,Datos!$B$2:$B$26103,16,Datos!$C$2:$C$26103,"&lt;30",Datos!$F$2:$F$26103,"STANDBY"),0),"")</f>
        <v/>
      </c>
      <c r="S50" s="7">
        <f>IFERROR(ROUND(AVERAGEIFS(Datos!$G$2:$G$26103,Datos!$E$2:$E$26103,$A50,Datos!$B$2:$B$26103,16,Datos!$C$2:$C$26103,"&gt;=30",Datos!$F$2:$F$26103,"STANDBY"),0),"")</f>
        <v/>
      </c>
      <c r="T50" s="7">
        <f>IFERROR(ROUND(AVERAGEIFS(Datos!$G$2:$G$26103,Datos!$E$2:$E$26103,$A50,Datos!$B$2:$B$26103,17,Datos!$C$2:$C$26103,"&lt;30",Datos!$F$2:$F$26103,"STANDBY"),0),"")</f>
        <v/>
      </c>
      <c r="U50" s="7">
        <f>IFERROR(ROUND(AVERAGEIFS(Datos!$G$2:$G$26103,Datos!$E$2:$E$26103,$A50,Datos!$B$2:$B$26103,17,Datos!$C$2:$C$26103,"&gt;=30",Datos!$F$2:$F$26103,"STANDBY"),0),"")</f>
        <v/>
      </c>
      <c r="V50" s="7">
        <f>IFERROR(ROUND(AVERAGEIFS(Datos!$G$2:$G$26103,Datos!$E$2:$E$26103,$A50,Datos!$B$2:$B$26103,18,Datos!$C$2:$C$26103,"&lt;30",Datos!$F$2:$F$26103,"STANDBY"),0),"")</f>
        <v/>
      </c>
      <c r="W50" s="7">
        <f>IFERROR(ROUND(AVERAGEIFS(Datos!$G$2:$G$26103,Datos!$E$2:$E$26103,$A50,Datos!$B$2:$B$26103,18,Datos!$C$2:$C$26103,"&gt;=30",Datos!$F$2:$F$26103,"STANDBY"),0),"")</f>
        <v/>
      </c>
      <c r="X50" s="7">
        <f>IFERROR(ROUND(AVERAGEIFS(Datos!$G$2:$G$26103,Datos!$E$2:$E$26103,$A50,Datos!$B$2:$B$26103,19,Datos!$C$2:$C$26103,"&lt;30",Datos!$F$2:$F$26103,"STANDBY"),0),"")</f>
        <v/>
      </c>
      <c r="Y50" s="7">
        <f>IFERROR(ROUND(AVERAGEIFS(Datos!$G$2:$G$26103,Datos!$E$2:$E$26103,$A50,Datos!$B$2:$B$26103,19,Datos!$C$2:$C$26103,"&gt;=30",Datos!$F$2:$F$26103,"STANDBY"),0),"")</f>
        <v/>
      </c>
      <c r="Z50" s="7">
        <f>IFERROR(ROUND(AVERAGEIFS(Datos!$G$2:$G$26103,Datos!$E$2:$E$26103,$A50,Datos!$B$2:$B$26103,20,Datos!$C$2:$C$26103,"&lt;30",Datos!$F$2:$F$26103,"STANDBY"),0),"")</f>
        <v/>
      </c>
      <c r="AA50" s="7">
        <f>IFERROR(ROUND(AVERAGEIFS(Datos!$G$2:$G$26103,Datos!$E$2:$E$26103,$A50,Datos!$B$2:$B$26103,20,Datos!$C$2:$C$26103,"&gt;=30",Datos!$F$2:$F$26103,"STANDBY"),0),"")</f>
        <v/>
      </c>
      <c r="AB50" s="7">
        <f>IFERROR(ROUND(AVERAGEIFS(Datos!$G$2:$G$26103,Datos!$E$2:$E$26103,$A50,Datos!$B$2:$B$26103,21,Datos!$C$2:$C$26103,"&lt;30",Datos!$F$2:$F$26103,"STANDBY"),0),"")</f>
        <v/>
      </c>
      <c r="AC50" s="7">
        <f>IFERROR(ROUND(AVERAGEIFS(Datos!$G$2:$G$26103,Datos!$E$2:$E$26103,$A50,Datos!$B$2:$B$26103,21,Datos!$C$2:$C$26103,"&gt;=30",Datos!$F$2:$F$26103,"STANDBY"),0),"")</f>
        <v/>
      </c>
      <c r="AD50" s="7">
        <f>IFERROR(ROUND(AVERAGEIFS(Datos!$G$2:$G$26103,Datos!$E$2:$E$26103,$A50,Datos!$B$2:$B$26103,22,Datos!$C$2:$C$26103,"&lt;30",Datos!$F$2:$F$26103,"STANDBY"),0),"")</f>
        <v/>
      </c>
      <c r="AE50" s="7">
        <f>IFERROR(ROUND(AVERAGEIFS(Datos!$G$2:$G$26103,Datos!$E$2:$E$26103,$A50,Datos!$B$2:$B$26103,22,Datos!$C$2:$C$26103,"&gt;=30",Datos!$F$2:$F$26103,"STANDBY"),0),"")</f>
        <v/>
      </c>
      <c r="AF50" s="7">
        <f>IFERROR(ROUND(AVERAGEIFS(Datos!$G$2:$G$26103,Datos!$E$2:$E$26103,$A50,Datos!$B$2:$B$26103,23,Datos!$C$2:$C$26103,"&lt;30",Datos!$F$2:$F$26103,"STANDBY"),0),"")</f>
        <v/>
      </c>
      <c r="AG50" s="7">
        <f>IFERROR(ROUND(AVERAGEIFS(Datos!$G$2:$G$26103,Datos!$E$2:$E$26103,$A50,Datos!$B$2:$B$26103,23,Datos!$C$2:$C$26103,"&gt;=30",Datos!$F$2:$F$26103,"STANDBY"),0),"")</f>
        <v/>
      </c>
    </row>
    <row r="51">
      <c r="A51" s="6" t="inlineStr">
        <is>
          <t>Mickey’s PhilharMagic</t>
        </is>
      </c>
      <c r="B51" s="7">
        <f>IFERROR(ROUND(AVERAGEIFS(Datos!$G$2:$G$26103,Datos!$E$2:$E$26103,$A51,Datos!$B$2:$B$26103,8,Datos!$C$2:$C$26103,"&lt;30",Datos!$F$2:$F$26103,"STANDBY"),0),"")</f>
        <v/>
      </c>
      <c r="C51" s="7">
        <f>IFERROR(ROUND(AVERAGEIFS(Datos!$G$2:$G$26103,Datos!$E$2:$E$26103,$A51,Datos!$B$2:$B$26103,8,Datos!$C$2:$C$26103,"&gt;=30",Datos!$F$2:$F$26103,"STANDBY"),0),"")</f>
        <v/>
      </c>
      <c r="D51" s="7">
        <f>IFERROR(ROUND(AVERAGEIFS(Datos!$G$2:$G$26103,Datos!$E$2:$E$26103,$A51,Datos!$B$2:$B$26103,9,Datos!$C$2:$C$26103,"&lt;30",Datos!$F$2:$F$26103,"STANDBY"),0),"")</f>
        <v/>
      </c>
      <c r="E51" s="7">
        <f>IFERROR(ROUND(AVERAGEIFS(Datos!$G$2:$G$26103,Datos!$E$2:$E$26103,$A51,Datos!$B$2:$B$26103,9,Datos!$C$2:$C$26103,"&gt;=30",Datos!$F$2:$F$26103,"STANDBY"),0),"")</f>
        <v/>
      </c>
      <c r="F51" s="7">
        <f>IFERROR(ROUND(AVERAGEIFS(Datos!$G$2:$G$26103,Datos!$E$2:$E$26103,$A51,Datos!$B$2:$B$26103,10,Datos!$C$2:$C$26103,"&lt;30",Datos!$F$2:$F$26103,"STANDBY"),0),"")</f>
        <v/>
      </c>
      <c r="G51" s="7">
        <f>IFERROR(ROUND(AVERAGEIFS(Datos!$G$2:$G$26103,Datos!$E$2:$E$26103,$A51,Datos!$B$2:$B$26103,10,Datos!$C$2:$C$26103,"&gt;=30",Datos!$F$2:$F$26103,"STANDBY"),0),"")</f>
        <v/>
      </c>
      <c r="H51" s="7">
        <f>IFERROR(ROUND(AVERAGEIFS(Datos!$G$2:$G$26103,Datos!$E$2:$E$26103,$A51,Datos!$B$2:$B$26103,11,Datos!$C$2:$C$26103,"&lt;30",Datos!$F$2:$F$26103,"STANDBY"),0),"")</f>
        <v/>
      </c>
      <c r="I51" s="7">
        <f>IFERROR(ROUND(AVERAGEIFS(Datos!$G$2:$G$26103,Datos!$E$2:$E$26103,$A51,Datos!$B$2:$B$26103,11,Datos!$C$2:$C$26103,"&gt;=30",Datos!$F$2:$F$26103,"STANDBY"),0),"")</f>
        <v/>
      </c>
      <c r="J51" s="7">
        <f>IFERROR(ROUND(AVERAGEIFS(Datos!$G$2:$G$26103,Datos!$E$2:$E$26103,$A51,Datos!$B$2:$B$26103,12,Datos!$C$2:$C$26103,"&lt;30",Datos!$F$2:$F$26103,"STANDBY"),0),"")</f>
        <v/>
      </c>
      <c r="K51" s="7">
        <f>IFERROR(ROUND(AVERAGEIFS(Datos!$G$2:$G$26103,Datos!$E$2:$E$26103,$A51,Datos!$B$2:$B$26103,12,Datos!$C$2:$C$26103,"&gt;=30",Datos!$F$2:$F$26103,"STANDBY"),0),"")</f>
        <v/>
      </c>
      <c r="L51" s="7">
        <f>IFERROR(ROUND(AVERAGEIFS(Datos!$G$2:$G$26103,Datos!$E$2:$E$26103,$A51,Datos!$B$2:$B$26103,13,Datos!$C$2:$C$26103,"&lt;30",Datos!$F$2:$F$26103,"STANDBY"),0),"")</f>
        <v/>
      </c>
      <c r="M51" s="7">
        <f>IFERROR(ROUND(AVERAGEIFS(Datos!$G$2:$G$26103,Datos!$E$2:$E$26103,$A51,Datos!$B$2:$B$26103,13,Datos!$C$2:$C$26103,"&gt;=30",Datos!$F$2:$F$26103,"STANDBY"),0),"")</f>
        <v/>
      </c>
      <c r="N51" s="7">
        <f>IFERROR(ROUND(AVERAGEIFS(Datos!$G$2:$G$26103,Datos!$E$2:$E$26103,$A51,Datos!$B$2:$B$26103,14,Datos!$C$2:$C$26103,"&lt;30",Datos!$F$2:$F$26103,"STANDBY"),0),"")</f>
        <v/>
      </c>
      <c r="O51" s="7">
        <f>IFERROR(ROUND(AVERAGEIFS(Datos!$G$2:$G$26103,Datos!$E$2:$E$26103,$A51,Datos!$B$2:$B$26103,14,Datos!$C$2:$C$26103,"&gt;=30",Datos!$F$2:$F$26103,"STANDBY"),0),"")</f>
        <v/>
      </c>
      <c r="P51" s="7">
        <f>IFERROR(ROUND(AVERAGEIFS(Datos!$G$2:$G$26103,Datos!$E$2:$E$26103,$A51,Datos!$B$2:$B$26103,15,Datos!$C$2:$C$26103,"&lt;30",Datos!$F$2:$F$26103,"STANDBY"),0),"")</f>
        <v/>
      </c>
      <c r="Q51" s="7">
        <f>IFERROR(ROUND(AVERAGEIFS(Datos!$G$2:$G$26103,Datos!$E$2:$E$26103,$A51,Datos!$B$2:$B$26103,15,Datos!$C$2:$C$26103,"&gt;=30",Datos!$F$2:$F$26103,"STANDBY"),0),"")</f>
        <v/>
      </c>
      <c r="R51" s="7">
        <f>IFERROR(ROUND(AVERAGEIFS(Datos!$G$2:$G$26103,Datos!$E$2:$E$26103,$A51,Datos!$B$2:$B$26103,16,Datos!$C$2:$C$26103,"&lt;30",Datos!$F$2:$F$26103,"STANDBY"),0),"")</f>
        <v/>
      </c>
      <c r="S51" s="7">
        <f>IFERROR(ROUND(AVERAGEIFS(Datos!$G$2:$G$26103,Datos!$E$2:$E$26103,$A51,Datos!$B$2:$B$26103,16,Datos!$C$2:$C$26103,"&gt;=30",Datos!$F$2:$F$26103,"STANDBY"),0),"")</f>
        <v/>
      </c>
      <c r="T51" s="7">
        <f>IFERROR(ROUND(AVERAGEIFS(Datos!$G$2:$G$26103,Datos!$E$2:$E$26103,$A51,Datos!$B$2:$B$26103,17,Datos!$C$2:$C$26103,"&lt;30",Datos!$F$2:$F$26103,"STANDBY"),0),"")</f>
        <v/>
      </c>
      <c r="U51" s="7">
        <f>IFERROR(ROUND(AVERAGEIFS(Datos!$G$2:$G$26103,Datos!$E$2:$E$26103,$A51,Datos!$B$2:$B$26103,17,Datos!$C$2:$C$26103,"&gt;=30",Datos!$F$2:$F$26103,"STANDBY"),0),"")</f>
        <v/>
      </c>
      <c r="V51" s="7">
        <f>IFERROR(ROUND(AVERAGEIFS(Datos!$G$2:$G$26103,Datos!$E$2:$E$26103,$A51,Datos!$B$2:$B$26103,18,Datos!$C$2:$C$26103,"&lt;30",Datos!$F$2:$F$26103,"STANDBY"),0),"")</f>
        <v/>
      </c>
      <c r="W51" s="7">
        <f>IFERROR(ROUND(AVERAGEIFS(Datos!$G$2:$G$26103,Datos!$E$2:$E$26103,$A51,Datos!$B$2:$B$26103,18,Datos!$C$2:$C$26103,"&gt;=30",Datos!$F$2:$F$26103,"STANDBY"),0),"")</f>
        <v/>
      </c>
      <c r="X51" s="7">
        <f>IFERROR(ROUND(AVERAGEIFS(Datos!$G$2:$G$26103,Datos!$E$2:$E$26103,$A51,Datos!$B$2:$B$26103,19,Datos!$C$2:$C$26103,"&lt;30",Datos!$F$2:$F$26103,"STANDBY"),0),"")</f>
        <v/>
      </c>
      <c r="Y51" s="7">
        <f>IFERROR(ROUND(AVERAGEIFS(Datos!$G$2:$G$26103,Datos!$E$2:$E$26103,$A51,Datos!$B$2:$B$26103,19,Datos!$C$2:$C$26103,"&gt;=30",Datos!$F$2:$F$26103,"STANDBY"),0),"")</f>
        <v/>
      </c>
      <c r="Z51" s="7">
        <f>IFERROR(ROUND(AVERAGEIFS(Datos!$G$2:$G$26103,Datos!$E$2:$E$26103,$A51,Datos!$B$2:$B$26103,20,Datos!$C$2:$C$26103,"&lt;30",Datos!$F$2:$F$26103,"STANDBY"),0),"")</f>
        <v/>
      </c>
      <c r="AA51" s="7">
        <f>IFERROR(ROUND(AVERAGEIFS(Datos!$G$2:$G$26103,Datos!$E$2:$E$26103,$A51,Datos!$B$2:$B$26103,20,Datos!$C$2:$C$26103,"&gt;=30",Datos!$F$2:$F$26103,"STANDBY"),0),"")</f>
        <v/>
      </c>
      <c r="AB51" s="7">
        <f>IFERROR(ROUND(AVERAGEIFS(Datos!$G$2:$G$26103,Datos!$E$2:$E$26103,$A51,Datos!$B$2:$B$26103,21,Datos!$C$2:$C$26103,"&lt;30",Datos!$F$2:$F$26103,"STANDBY"),0),"")</f>
        <v/>
      </c>
      <c r="AC51" s="7">
        <f>IFERROR(ROUND(AVERAGEIFS(Datos!$G$2:$G$26103,Datos!$E$2:$E$26103,$A51,Datos!$B$2:$B$26103,21,Datos!$C$2:$C$26103,"&gt;=30",Datos!$F$2:$F$26103,"STANDBY"),0),"")</f>
        <v/>
      </c>
      <c r="AD51" s="7">
        <f>IFERROR(ROUND(AVERAGEIFS(Datos!$G$2:$G$26103,Datos!$E$2:$E$26103,$A51,Datos!$B$2:$B$26103,22,Datos!$C$2:$C$26103,"&lt;30",Datos!$F$2:$F$26103,"STANDBY"),0),"")</f>
        <v/>
      </c>
      <c r="AE51" s="7">
        <f>IFERROR(ROUND(AVERAGEIFS(Datos!$G$2:$G$26103,Datos!$E$2:$E$26103,$A51,Datos!$B$2:$B$26103,22,Datos!$C$2:$C$26103,"&gt;=30",Datos!$F$2:$F$26103,"STANDBY"),0),"")</f>
        <v/>
      </c>
      <c r="AF51" s="7">
        <f>IFERROR(ROUND(AVERAGEIFS(Datos!$G$2:$G$26103,Datos!$E$2:$E$26103,$A51,Datos!$B$2:$B$26103,23,Datos!$C$2:$C$26103,"&lt;30",Datos!$F$2:$F$26103,"STANDBY"),0),"")</f>
        <v/>
      </c>
      <c r="AG51" s="7">
        <f>IFERROR(ROUND(AVERAGEIFS(Datos!$G$2:$G$26103,Datos!$E$2:$E$26103,$A51,Datos!$B$2:$B$26103,23,Datos!$C$2:$C$26103,"&gt;=30",Datos!$F$2:$F$26103,"STANDBY"),0),"")</f>
        <v/>
      </c>
    </row>
    <row r="52">
      <c r="A52" s="6" t="inlineStr">
        <is>
          <t>Orbitron®</t>
        </is>
      </c>
      <c r="B52" s="7">
        <f>IFERROR(ROUND(AVERAGEIFS(Datos!$G$2:$G$26103,Datos!$E$2:$E$26103,$A52,Datos!$B$2:$B$26103,8,Datos!$C$2:$C$26103,"&lt;30",Datos!$F$2:$F$26103,"STANDBY"),0),"")</f>
        <v/>
      </c>
      <c r="C52" s="7">
        <f>IFERROR(ROUND(AVERAGEIFS(Datos!$G$2:$G$26103,Datos!$E$2:$E$26103,$A52,Datos!$B$2:$B$26103,8,Datos!$C$2:$C$26103,"&gt;=30",Datos!$F$2:$F$26103,"STANDBY"),0),"")</f>
        <v/>
      </c>
      <c r="D52" s="7">
        <f>IFERROR(ROUND(AVERAGEIFS(Datos!$G$2:$G$26103,Datos!$E$2:$E$26103,$A52,Datos!$B$2:$B$26103,9,Datos!$C$2:$C$26103,"&lt;30",Datos!$F$2:$F$26103,"STANDBY"),0),"")</f>
        <v/>
      </c>
      <c r="E52" s="7">
        <f>IFERROR(ROUND(AVERAGEIFS(Datos!$G$2:$G$26103,Datos!$E$2:$E$26103,$A52,Datos!$B$2:$B$26103,9,Datos!$C$2:$C$26103,"&gt;=30",Datos!$F$2:$F$26103,"STANDBY"),0),"")</f>
        <v/>
      </c>
      <c r="F52" s="7">
        <f>IFERROR(ROUND(AVERAGEIFS(Datos!$G$2:$G$26103,Datos!$E$2:$E$26103,$A52,Datos!$B$2:$B$26103,10,Datos!$C$2:$C$26103,"&lt;30",Datos!$F$2:$F$26103,"STANDBY"),0),"")</f>
        <v/>
      </c>
      <c r="G52" s="7">
        <f>IFERROR(ROUND(AVERAGEIFS(Datos!$G$2:$G$26103,Datos!$E$2:$E$26103,$A52,Datos!$B$2:$B$26103,10,Datos!$C$2:$C$26103,"&gt;=30",Datos!$F$2:$F$26103,"STANDBY"),0),"")</f>
        <v/>
      </c>
      <c r="H52" s="7">
        <f>IFERROR(ROUND(AVERAGEIFS(Datos!$G$2:$G$26103,Datos!$E$2:$E$26103,$A52,Datos!$B$2:$B$26103,11,Datos!$C$2:$C$26103,"&lt;30",Datos!$F$2:$F$26103,"STANDBY"),0),"")</f>
        <v/>
      </c>
      <c r="I52" s="7">
        <f>IFERROR(ROUND(AVERAGEIFS(Datos!$G$2:$G$26103,Datos!$E$2:$E$26103,$A52,Datos!$B$2:$B$26103,11,Datos!$C$2:$C$26103,"&gt;=30",Datos!$F$2:$F$26103,"STANDBY"),0),"")</f>
        <v/>
      </c>
      <c r="J52" s="7">
        <f>IFERROR(ROUND(AVERAGEIFS(Datos!$G$2:$G$26103,Datos!$E$2:$E$26103,$A52,Datos!$B$2:$B$26103,12,Datos!$C$2:$C$26103,"&lt;30",Datos!$F$2:$F$26103,"STANDBY"),0),"")</f>
        <v/>
      </c>
      <c r="K52" s="7">
        <f>IFERROR(ROUND(AVERAGEIFS(Datos!$G$2:$G$26103,Datos!$E$2:$E$26103,$A52,Datos!$B$2:$B$26103,12,Datos!$C$2:$C$26103,"&gt;=30",Datos!$F$2:$F$26103,"STANDBY"),0),"")</f>
        <v/>
      </c>
      <c r="L52" s="7">
        <f>IFERROR(ROUND(AVERAGEIFS(Datos!$G$2:$G$26103,Datos!$E$2:$E$26103,$A52,Datos!$B$2:$B$26103,13,Datos!$C$2:$C$26103,"&lt;30",Datos!$F$2:$F$26103,"STANDBY"),0),"")</f>
        <v/>
      </c>
      <c r="M52" s="7">
        <f>IFERROR(ROUND(AVERAGEIFS(Datos!$G$2:$G$26103,Datos!$E$2:$E$26103,$A52,Datos!$B$2:$B$26103,13,Datos!$C$2:$C$26103,"&gt;=30",Datos!$F$2:$F$26103,"STANDBY"),0),"")</f>
        <v/>
      </c>
      <c r="N52" s="7">
        <f>IFERROR(ROUND(AVERAGEIFS(Datos!$G$2:$G$26103,Datos!$E$2:$E$26103,$A52,Datos!$B$2:$B$26103,14,Datos!$C$2:$C$26103,"&lt;30",Datos!$F$2:$F$26103,"STANDBY"),0),"")</f>
        <v/>
      </c>
      <c r="O52" s="7">
        <f>IFERROR(ROUND(AVERAGEIFS(Datos!$G$2:$G$26103,Datos!$E$2:$E$26103,$A52,Datos!$B$2:$B$26103,14,Datos!$C$2:$C$26103,"&gt;=30",Datos!$F$2:$F$26103,"STANDBY"),0),"")</f>
        <v/>
      </c>
      <c r="P52" s="7">
        <f>IFERROR(ROUND(AVERAGEIFS(Datos!$G$2:$G$26103,Datos!$E$2:$E$26103,$A52,Datos!$B$2:$B$26103,15,Datos!$C$2:$C$26103,"&lt;30",Datos!$F$2:$F$26103,"STANDBY"),0),"")</f>
        <v/>
      </c>
      <c r="Q52" s="7">
        <f>IFERROR(ROUND(AVERAGEIFS(Datos!$G$2:$G$26103,Datos!$E$2:$E$26103,$A52,Datos!$B$2:$B$26103,15,Datos!$C$2:$C$26103,"&gt;=30",Datos!$F$2:$F$26103,"STANDBY"),0),"")</f>
        <v/>
      </c>
      <c r="R52" s="7">
        <f>IFERROR(ROUND(AVERAGEIFS(Datos!$G$2:$G$26103,Datos!$E$2:$E$26103,$A52,Datos!$B$2:$B$26103,16,Datos!$C$2:$C$26103,"&lt;30",Datos!$F$2:$F$26103,"STANDBY"),0),"")</f>
        <v/>
      </c>
      <c r="S52" s="7">
        <f>IFERROR(ROUND(AVERAGEIFS(Datos!$G$2:$G$26103,Datos!$E$2:$E$26103,$A52,Datos!$B$2:$B$26103,16,Datos!$C$2:$C$26103,"&gt;=30",Datos!$F$2:$F$26103,"STANDBY"),0),"")</f>
        <v/>
      </c>
      <c r="T52" s="7">
        <f>IFERROR(ROUND(AVERAGEIFS(Datos!$G$2:$G$26103,Datos!$E$2:$E$26103,$A52,Datos!$B$2:$B$26103,17,Datos!$C$2:$C$26103,"&lt;30",Datos!$F$2:$F$26103,"STANDBY"),0),"")</f>
        <v/>
      </c>
      <c r="U52" s="7">
        <f>IFERROR(ROUND(AVERAGEIFS(Datos!$G$2:$G$26103,Datos!$E$2:$E$26103,$A52,Datos!$B$2:$B$26103,17,Datos!$C$2:$C$26103,"&gt;=30",Datos!$F$2:$F$26103,"STANDBY"),0),"")</f>
        <v/>
      </c>
      <c r="V52" s="7">
        <f>IFERROR(ROUND(AVERAGEIFS(Datos!$G$2:$G$26103,Datos!$E$2:$E$26103,$A52,Datos!$B$2:$B$26103,18,Datos!$C$2:$C$26103,"&lt;30",Datos!$F$2:$F$26103,"STANDBY"),0),"")</f>
        <v/>
      </c>
      <c r="W52" s="7">
        <f>IFERROR(ROUND(AVERAGEIFS(Datos!$G$2:$G$26103,Datos!$E$2:$E$26103,$A52,Datos!$B$2:$B$26103,18,Datos!$C$2:$C$26103,"&gt;=30",Datos!$F$2:$F$26103,"STANDBY"),0),"")</f>
        <v/>
      </c>
      <c r="X52" s="7">
        <f>IFERROR(ROUND(AVERAGEIFS(Datos!$G$2:$G$26103,Datos!$E$2:$E$26103,$A52,Datos!$B$2:$B$26103,19,Datos!$C$2:$C$26103,"&lt;30",Datos!$F$2:$F$26103,"STANDBY"),0),"")</f>
        <v/>
      </c>
      <c r="Y52" s="7">
        <f>IFERROR(ROUND(AVERAGEIFS(Datos!$G$2:$G$26103,Datos!$E$2:$E$26103,$A52,Datos!$B$2:$B$26103,19,Datos!$C$2:$C$26103,"&gt;=30",Datos!$F$2:$F$26103,"STANDBY"),0),"")</f>
        <v/>
      </c>
      <c r="Z52" s="7">
        <f>IFERROR(ROUND(AVERAGEIFS(Datos!$G$2:$G$26103,Datos!$E$2:$E$26103,$A52,Datos!$B$2:$B$26103,20,Datos!$C$2:$C$26103,"&lt;30",Datos!$F$2:$F$26103,"STANDBY"),0),"")</f>
        <v/>
      </c>
      <c r="AA52" s="7">
        <f>IFERROR(ROUND(AVERAGEIFS(Datos!$G$2:$G$26103,Datos!$E$2:$E$26103,$A52,Datos!$B$2:$B$26103,20,Datos!$C$2:$C$26103,"&gt;=30",Datos!$F$2:$F$26103,"STANDBY"),0),"")</f>
        <v/>
      </c>
      <c r="AB52" s="7">
        <f>IFERROR(ROUND(AVERAGEIFS(Datos!$G$2:$G$26103,Datos!$E$2:$E$26103,$A52,Datos!$B$2:$B$26103,21,Datos!$C$2:$C$26103,"&lt;30",Datos!$F$2:$F$26103,"STANDBY"),0),"")</f>
        <v/>
      </c>
      <c r="AC52" s="7">
        <f>IFERROR(ROUND(AVERAGEIFS(Datos!$G$2:$G$26103,Datos!$E$2:$E$26103,$A52,Datos!$B$2:$B$26103,21,Datos!$C$2:$C$26103,"&gt;=30",Datos!$F$2:$F$26103,"STANDBY"),0),"")</f>
        <v/>
      </c>
      <c r="AD52" s="7">
        <f>IFERROR(ROUND(AVERAGEIFS(Datos!$G$2:$G$26103,Datos!$E$2:$E$26103,$A52,Datos!$B$2:$B$26103,22,Datos!$C$2:$C$26103,"&lt;30",Datos!$F$2:$F$26103,"STANDBY"),0),"")</f>
        <v/>
      </c>
      <c r="AE52" s="7">
        <f>IFERROR(ROUND(AVERAGEIFS(Datos!$G$2:$G$26103,Datos!$E$2:$E$26103,$A52,Datos!$B$2:$B$26103,22,Datos!$C$2:$C$26103,"&gt;=30",Datos!$F$2:$F$26103,"STANDBY"),0),"")</f>
        <v/>
      </c>
      <c r="AF52" s="7">
        <f>IFERROR(ROUND(AVERAGEIFS(Datos!$G$2:$G$26103,Datos!$E$2:$E$26103,$A52,Datos!$B$2:$B$26103,23,Datos!$C$2:$C$26103,"&lt;30",Datos!$F$2:$F$26103,"STANDBY"),0),"")</f>
        <v/>
      </c>
      <c r="AG52" s="7">
        <f>IFERROR(ROUND(AVERAGEIFS(Datos!$G$2:$G$26103,Datos!$E$2:$E$26103,$A52,Datos!$B$2:$B$26103,23,Datos!$C$2:$C$26103,"&gt;=30",Datos!$F$2:$F$26103,"STANDBY"),0),"")</f>
        <v/>
      </c>
    </row>
    <row r="53">
      <c r="A53" s="6" t="inlineStr">
        <is>
          <t>Peter Pan's Flight</t>
        </is>
      </c>
      <c r="B53" s="7">
        <f>IFERROR(ROUND(AVERAGEIFS(Datos!$G$2:$G$26103,Datos!$E$2:$E$26103,$A53,Datos!$B$2:$B$26103,8,Datos!$C$2:$C$26103,"&lt;30",Datos!$F$2:$F$26103,"STANDBY"),0),"")</f>
        <v/>
      </c>
      <c r="C53" s="7">
        <f>IFERROR(ROUND(AVERAGEIFS(Datos!$G$2:$G$26103,Datos!$E$2:$E$26103,$A53,Datos!$B$2:$B$26103,8,Datos!$C$2:$C$26103,"&gt;=30",Datos!$F$2:$F$26103,"STANDBY"),0),"")</f>
        <v/>
      </c>
      <c r="D53" s="7">
        <f>IFERROR(ROUND(AVERAGEIFS(Datos!$G$2:$G$26103,Datos!$E$2:$E$26103,$A53,Datos!$B$2:$B$26103,9,Datos!$C$2:$C$26103,"&lt;30",Datos!$F$2:$F$26103,"STANDBY"),0),"")</f>
        <v/>
      </c>
      <c r="E53" s="7">
        <f>IFERROR(ROUND(AVERAGEIFS(Datos!$G$2:$G$26103,Datos!$E$2:$E$26103,$A53,Datos!$B$2:$B$26103,9,Datos!$C$2:$C$26103,"&gt;=30",Datos!$F$2:$F$26103,"STANDBY"),0),"")</f>
        <v/>
      </c>
      <c r="F53" s="7">
        <f>IFERROR(ROUND(AVERAGEIFS(Datos!$G$2:$G$26103,Datos!$E$2:$E$26103,$A53,Datos!$B$2:$B$26103,10,Datos!$C$2:$C$26103,"&lt;30",Datos!$F$2:$F$26103,"STANDBY"),0),"")</f>
        <v/>
      </c>
      <c r="G53" s="7">
        <f>IFERROR(ROUND(AVERAGEIFS(Datos!$G$2:$G$26103,Datos!$E$2:$E$26103,$A53,Datos!$B$2:$B$26103,10,Datos!$C$2:$C$26103,"&gt;=30",Datos!$F$2:$F$26103,"STANDBY"),0),"")</f>
        <v/>
      </c>
      <c r="H53" s="7">
        <f>IFERROR(ROUND(AVERAGEIFS(Datos!$G$2:$G$26103,Datos!$E$2:$E$26103,$A53,Datos!$B$2:$B$26103,11,Datos!$C$2:$C$26103,"&lt;30",Datos!$F$2:$F$26103,"STANDBY"),0),"")</f>
        <v/>
      </c>
      <c r="I53" s="7">
        <f>IFERROR(ROUND(AVERAGEIFS(Datos!$G$2:$G$26103,Datos!$E$2:$E$26103,$A53,Datos!$B$2:$B$26103,11,Datos!$C$2:$C$26103,"&gt;=30",Datos!$F$2:$F$26103,"STANDBY"),0),"")</f>
        <v/>
      </c>
      <c r="J53" s="7">
        <f>IFERROR(ROUND(AVERAGEIFS(Datos!$G$2:$G$26103,Datos!$E$2:$E$26103,$A53,Datos!$B$2:$B$26103,12,Datos!$C$2:$C$26103,"&lt;30",Datos!$F$2:$F$26103,"STANDBY"),0),"")</f>
        <v/>
      </c>
      <c r="K53" s="7">
        <f>IFERROR(ROUND(AVERAGEIFS(Datos!$G$2:$G$26103,Datos!$E$2:$E$26103,$A53,Datos!$B$2:$B$26103,12,Datos!$C$2:$C$26103,"&gt;=30",Datos!$F$2:$F$26103,"STANDBY"),0),"")</f>
        <v/>
      </c>
      <c r="L53" s="7">
        <f>IFERROR(ROUND(AVERAGEIFS(Datos!$G$2:$G$26103,Datos!$E$2:$E$26103,$A53,Datos!$B$2:$B$26103,13,Datos!$C$2:$C$26103,"&lt;30",Datos!$F$2:$F$26103,"STANDBY"),0),"")</f>
        <v/>
      </c>
      <c r="M53" s="7">
        <f>IFERROR(ROUND(AVERAGEIFS(Datos!$G$2:$G$26103,Datos!$E$2:$E$26103,$A53,Datos!$B$2:$B$26103,13,Datos!$C$2:$C$26103,"&gt;=30",Datos!$F$2:$F$26103,"STANDBY"),0),"")</f>
        <v/>
      </c>
      <c r="N53" s="7">
        <f>IFERROR(ROUND(AVERAGEIFS(Datos!$G$2:$G$26103,Datos!$E$2:$E$26103,$A53,Datos!$B$2:$B$26103,14,Datos!$C$2:$C$26103,"&lt;30",Datos!$F$2:$F$26103,"STANDBY"),0),"")</f>
        <v/>
      </c>
      <c r="O53" s="7">
        <f>IFERROR(ROUND(AVERAGEIFS(Datos!$G$2:$G$26103,Datos!$E$2:$E$26103,$A53,Datos!$B$2:$B$26103,14,Datos!$C$2:$C$26103,"&gt;=30",Datos!$F$2:$F$26103,"STANDBY"),0),"")</f>
        <v/>
      </c>
      <c r="P53" s="7">
        <f>IFERROR(ROUND(AVERAGEIFS(Datos!$G$2:$G$26103,Datos!$E$2:$E$26103,$A53,Datos!$B$2:$B$26103,15,Datos!$C$2:$C$26103,"&lt;30",Datos!$F$2:$F$26103,"STANDBY"),0),"")</f>
        <v/>
      </c>
      <c r="Q53" s="7">
        <f>IFERROR(ROUND(AVERAGEIFS(Datos!$G$2:$G$26103,Datos!$E$2:$E$26103,$A53,Datos!$B$2:$B$26103,15,Datos!$C$2:$C$26103,"&gt;=30",Datos!$F$2:$F$26103,"STANDBY"),0),"")</f>
        <v/>
      </c>
      <c r="R53" s="7">
        <f>IFERROR(ROUND(AVERAGEIFS(Datos!$G$2:$G$26103,Datos!$E$2:$E$26103,$A53,Datos!$B$2:$B$26103,16,Datos!$C$2:$C$26103,"&lt;30",Datos!$F$2:$F$26103,"STANDBY"),0),"")</f>
        <v/>
      </c>
      <c r="S53" s="7">
        <f>IFERROR(ROUND(AVERAGEIFS(Datos!$G$2:$G$26103,Datos!$E$2:$E$26103,$A53,Datos!$B$2:$B$26103,16,Datos!$C$2:$C$26103,"&gt;=30",Datos!$F$2:$F$26103,"STANDBY"),0),"")</f>
        <v/>
      </c>
      <c r="T53" s="7">
        <f>IFERROR(ROUND(AVERAGEIFS(Datos!$G$2:$G$26103,Datos!$E$2:$E$26103,$A53,Datos!$B$2:$B$26103,17,Datos!$C$2:$C$26103,"&lt;30",Datos!$F$2:$F$26103,"STANDBY"),0),"")</f>
        <v/>
      </c>
      <c r="U53" s="7">
        <f>IFERROR(ROUND(AVERAGEIFS(Datos!$G$2:$G$26103,Datos!$E$2:$E$26103,$A53,Datos!$B$2:$B$26103,17,Datos!$C$2:$C$26103,"&gt;=30",Datos!$F$2:$F$26103,"STANDBY"),0),"")</f>
        <v/>
      </c>
      <c r="V53" s="7">
        <f>IFERROR(ROUND(AVERAGEIFS(Datos!$G$2:$G$26103,Datos!$E$2:$E$26103,$A53,Datos!$B$2:$B$26103,18,Datos!$C$2:$C$26103,"&lt;30",Datos!$F$2:$F$26103,"STANDBY"),0),"")</f>
        <v/>
      </c>
      <c r="W53" s="7">
        <f>IFERROR(ROUND(AVERAGEIFS(Datos!$G$2:$G$26103,Datos!$E$2:$E$26103,$A53,Datos!$B$2:$B$26103,18,Datos!$C$2:$C$26103,"&gt;=30",Datos!$F$2:$F$26103,"STANDBY"),0),"")</f>
        <v/>
      </c>
      <c r="X53" s="7">
        <f>IFERROR(ROUND(AVERAGEIFS(Datos!$G$2:$G$26103,Datos!$E$2:$E$26103,$A53,Datos!$B$2:$B$26103,19,Datos!$C$2:$C$26103,"&lt;30",Datos!$F$2:$F$26103,"STANDBY"),0),"")</f>
        <v/>
      </c>
      <c r="Y53" s="7">
        <f>IFERROR(ROUND(AVERAGEIFS(Datos!$G$2:$G$26103,Datos!$E$2:$E$26103,$A53,Datos!$B$2:$B$26103,19,Datos!$C$2:$C$26103,"&gt;=30",Datos!$F$2:$F$26103,"STANDBY"),0),"")</f>
        <v/>
      </c>
      <c r="Z53" s="7">
        <f>IFERROR(ROUND(AVERAGEIFS(Datos!$G$2:$G$26103,Datos!$E$2:$E$26103,$A53,Datos!$B$2:$B$26103,20,Datos!$C$2:$C$26103,"&lt;30",Datos!$F$2:$F$26103,"STANDBY"),0),"")</f>
        <v/>
      </c>
      <c r="AA53" s="7">
        <f>IFERROR(ROUND(AVERAGEIFS(Datos!$G$2:$G$26103,Datos!$E$2:$E$26103,$A53,Datos!$B$2:$B$26103,20,Datos!$C$2:$C$26103,"&gt;=30",Datos!$F$2:$F$26103,"STANDBY"),0),"")</f>
        <v/>
      </c>
      <c r="AB53" s="7">
        <f>IFERROR(ROUND(AVERAGEIFS(Datos!$G$2:$G$26103,Datos!$E$2:$E$26103,$A53,Datos!$B$2:$B$26103,21,Datos!$C$2:$C$26103,"&lt;30",Datos!$F$2:$F$26103,"STANDBY"),0),"")</f>
        <v/>
      </c>
      <c r="AC53" s="7">
        <f>IFERROR(ROUND(AVERAGEIFS(Datos!$G$2:$G$26103,Datos!$E$2:$E$26103,$A53,Datos!$B$2:$B$26103,21,Datos!$C$2:$C$26103,"&gt;=30",Datos!$F$2:$F$26103,"STANDBY"),0),"")</f>
        <v/>
      </c>
      <c r="AD53" s="7">
        <f>IFERROR(ROUND(AVERAGEIFS(Datos!$G$2:$G$26103,Datos!$E$2:$E$26103,$A53,Datos!$B$2:$B$26103,22,Datos!$C$2:$C$26103,"&lt;30",Datos!$F$2:$F$26103,"STANDBY"),0),"")</f>
        <v/>
      </c>
      <c r="AE53" s="7">
        <f>IFERROR(ROUND(AVERAGEIFS(Datos!$G$2:$G$26103,Datos!$E$2:$E$26103,$A53,Datos!$B$2:$B$26103,22,Datos!$C$2:$C$26103,"&gt;=30",Datos!$F$2:$F$26103,"STANDBY"),0),"")</f>
        <v/>
      </c>
      <c r="AF53" s="7">
        <f>IFERROR(ROUND(AVERAGEIFS(Datos!$G$2:$G$26103,Datos!$E$2:$E$26103,$A53,Datos!$B$2:$B$26103,23,Datos!$C$2:$C$26103,"&lt;30",Datos!$F$2:$F$26103,"STANDBY"),0),"")</f>
        <v/>
      </c>
      <c r="AG53" s="7">
        <f>IFERROR(ROUND(AVERAGEIFS(Datos!$G$2:$G$26103,Datos!$E$2:$E$26103,$A53,Datos!$B$2:$B$26103,23,Datos!$C$2:$C$26103,"&gt;=30",Datos!$F$2:$F$26103,"STANDBY"),0),"")</f>
        <v/>
      </c>
    </row>
    <row r="54">
      <c r="A54" s="6" t="inlineStr">
        <is>
          <t>Phantom Manor</t>
        </is>
      </c>
      <c r="B54" s="7">
        <f>IFERROR(ROUND(AVERAGEIFS(Datos!$G$2:$G$26103,Datos!$E$2:$E$26103,$A54,Datos!$B$2:$B$26103,8,Datos!$C$2:$C$26103,"&lt;30",Datos!$F$2:$F$26103,"STANDBY"),0),"")</f>
        <v/>
      </c>
      <c r="C54" s="7">
        <f>IFERROR(ROUND(AVERAGEIFS(Datos!$G$2:$G$26103,Datos!$E$2:$E$26103,$A54,Datos!$B$2:$B$26103,8,Datos!$C$2:$C$26103,"&gt;=30",Datos!$F$2:$F$26103,"STANDBY"),0),"")</f>
        <v/>
      </c>
      <c r="D54" s="7">
        <f>IFERROR(ROUND(AVERAGEIFS(Datos!$G$2:$G$26103,Datos!$E$2:$E$26103,$A54,Datos!$B$2:$B$26103,9,Datos!$C$2:$C$26103,"&lt;30",Datos!$F$2:$F$26103,"STANDBY"),0),"")</f>
        <v/>
      </c>
      <c r="E54" s="7">
        <f>IFERROR(ROUND(AVERAGEIFS(Datos!$G$2:$G$26103,Datos!$E$2:$E$26103,$A54,Datos!$B$2:$B$26103,9,Datos!$C$2:$C$26103,"&gt;=30",Datos!$F$2:$F$26103,"STANDBY"),0),"")</f>
        <v/>
      </c>
      <c r="F54" s="7">
        <f>IFERROR(ROUND(AVERAGEIFS(Datos!$G$2:$G$26103,Datos!$E$2:$E$26103,$A54,Datos!$B$2:$B$26103,10,Datos!$C$2:$C$26103,"&lt;30",Datos!$F$2:$F$26103,"STANDBY"),0),"")</f>
        <v/>
      </c>
      <c r="G54" s="7">
        <f>IFERROR(ROUND(AVERAGEIFS(Datos!$G$2:$G$26103,Datos!$E$2:$E$26103,$A54,Datos!$B$2:$B$26103,10,Datos!$C$2:$C$26103,"&gt;=30",Datos!$F$2:$F$26103,"STANDBY"),0),"")</f>
        <v/>
      </c>
      <c r="H54" s="7">
        <f>IFERROR(ROUND(AVERAGEIFS(Datos!$G$2:$G$26103,Datos!$E$2:$E$26103,$A54,Datos!$B$2:$B$26103,11,Datos!$C$2:$C$26103,"&lt;30",Datos!$F$2:$F$26103,"STANDBY"),0),"")</f>
        <v/>
      </c>
      <c r="I54" s="7">
        <f>IFERROR(ROUND(AVERAGEIFS(Datos!$G$2:$G$26103,Datos!$E$2:$E$26103,$A54,Datos!$B$2:$B$26103,11,Datos!$C$2:$C$26103,"&gt;=30",Datos!$F$2:$F$26103,"STANDBY"),0),"")</f>
        <v/>
      </c>
      <c r="J54" s="7">
        <f>IFERROR(ROUND(AVERAGEIFS(Datos!$G$2:$G$26103,Datos!$E$2:$E$26103,$A54,Datos!$B$2:$B$26103,12,Datos!$C$2:$C$26103,"&lt;30",Datos!$F$2:$F$26103,"STANDBY"),0),"")</f>
        <v/>
      </c>
      <c r="K54" s="7">
        <f>IFERROR(ROUND(AVERAGEIFS(Datos!$G$2:$G$26103,Datos!$E$2:$E$26103,$A54,Datos!$B$2:$B$26103,12,Datos!$C$2:$C$26103,"&gt;=30",Datos!$F$2:$F$26103,"STANDBY"),0),"")</f>
        <v/>
      </c>
      <c r="L54" s="7">
        <f>IFERROR(ROUND(AVERAGEIFS(Datos!$G$2:$G$26103,Datos!$E$2:$E$26103,$A54,Datos!$B$2:$B$26103,13,Datos!$C$2:$C$26103,"&lt;30",Datos!$F$2:$F$26103,"STANDBY"),0),"")</f>
        <v/>
      </c>
      <c r="M54" s="7">
        <f>IFERROR(ROUND(AVERAGEIFS(Datos!$G$2:$G$26103,Datos!$E$2:$E$26103,$A54,Datos!$B$2:$B$26103,13,Datos!$C$2:$C$26103,"&gt;=30",Datos!$F$2:$F$26103,"STANDBY"),0),"")</f>
        <v/>
      </c>
      <c r="N54" s="7">
        <f>IFERROR(ROUND(AVERAGEIFS(Datos!$G$2:$G$26103,Datos!$E$2:$E$26103,$A54,Datos!$B$2:$B$26103,14,Datos!$C$2:$C$26103,"&lt;30",Datos!$F$2:$F$26103,"STANDBY"),0),"")</f>
        <v/>
      </c>
      <c r="O54" s="7">
        <f>IFERROR(ROUND(AVERAGEIFS(Datos!$G$2:$G$26103,Datos!$E$2:$E$26103,$A54,Datos!$B$2:$B$26103,14,Datos!$C$2:$C$26103,"&gt;=30",Datos!$F$2:$F$26103,"STANDBY"),0),"")</f>
        <v/>
      </c>
      <c r="P54" s="7">
        <f>IFERROR(ROUND(AVERAGEIFS(Datos!$G$2:$G$26103,Datos!$E$2:$E$26103,$A54,Datos!$B$2:$B$26103,15,Datos!$C$2:$C$26103,"&lt;30",Datos!$F$2:$F$26103,"STANDBY"),0),"")</f>
        <v/>
      </c>
      <c r="Q54" s="7">
        <f>IFERROR(ROUND(AVERAGEIFS(Datos!$G$2:$G$26103,Datos!$E$2:$E$26103,$A54,Datos!$B$2:$B$26103,15,Datos!$C$2:$C$26103,"&gt;=30",Datos!$F$2:$F$26103,"STANDBY"),0),"")</f>
        <v/>
      </c>
      <c r="R54" s="7">
        <f>IFERROR(ROUND(AVERAGEIFS(Datos!$G$2:$G$26103,Datos!$E$2:$E$26103,$A54,Datos!$B$2:$B$26103,16,Datos!$C$2:$C$26103,"&lt;30",Datos!$F$2:$F$26103,"STANDBY"),0),"")</f>
        <v/>
      </c>
      <c r="S54" s="7">
        <f>IFERROR(ROUND(AVERAGEIFS(Datos!$G$2:$G$26103,Datos!$E$2:$E$26103,$A54,Datos!$B$2:$B$26103,16,Datos!$C$2:$C$26103,"&gt;=30",Datos!$F$2:$F$26103,"STANDBY"),0),"")</f>
        <v/>
      </c>
      <c r="T54" s="7">
        <f>IFERROR(ROUND(AVERAGEIFS(Datos!$G$2:$G$26103,Datos!$E$2:$E$26103,$A54,Datos!$B$2:$B$26103,17,Datos!$C$2:$C$26103,"&lt;30",Datos!$F$2:$F$26103,"STANDBY"),0),"")</f>
        <v/>
      </c>
      <c r="U54" s="7">
        <f>IFERROR(ROUND(AVERAGEIFS(Datos!$G$2:$G$26103,Datos!$E$2:$E$26103,$A54,Datos!$B$2:$B$26103,17,Datos!$C$2:$C$26103,"&gt;=30",Datos!$F$2:$F$26103,"STANDBY"),0),"")</f>
        <v/>
      </c>
      <c r="V54" s="7">
        <f>IFERROR(ROUND(AVERAGEIFS(Datos!$G$2:$G$26103,Datos!$E$2:$E$26103,$A54,Datos!$B$2:$B$26103,18,Datos!$C$2:$C$26103,"&lt;30",Datos!$F$2:$F$26103,"STANDBY"),0),"")</f>
        <v/>
      </c>
      <c r="W54" s="7">
        <f>IFERROR(ROUND(AVERAGEIFS(Datos!$G$2:$G$26103,Datos!$E$2:$E$26103,$A54,Datos!$B$2:$B$26103,18,Datos!$C$2:$C$26103,"&gt;=30",Datos!$F$2:$F$26103,"STANDBY"),0),"")</f>
        <v/>
      </c>
      <c r="X54" s="7">
        <f>IFERROR(ROUND(AVERAGEIFS(Datos!$G$2:$G$26103,Datos!$E$2:$E$26103,$A54,Datos!$B$2:$B$26103,19,Datos!$C$2:$C$26103,"&lt;30",Datos!$F$2:$F$26103,"STANDBY"),0),"")</f>
        <v/>
      </c>
      <c r="Y54" s="7">
        <f>IFERROR(ROUND(AVERAGEIFS(Datos!$G$2:$G$26103,Datos!$E$2:$E$26103,$A54,Datos!$B$2:$B$26103,19,Datos!$C$2:$C$26103,"&gt;=30",Datos!$F$2:$F$26103,"STANDBY"),0),"")</f>
        <v/>
      </c>
      <c r="Z54" s="7">
        <f>IFERROR(ROUND(AVERAGEIFS(Datos!$G$2:$G$26103,Datos!$E$2:$E$26103,$A54,Datos!$B$2:$B$26103,20,Datos!$C$2:$C$26103,"&lt;30",Datos!$F$2:$F$26103,"STANDBY"),0),"")</f>
        <v/>
      </c>
      <c r="AA54" s="7">
        <f>IFERROR(ROUND(AVERAGEIFS(Datos!$G$2:$G$26103,Datos!$E$2:$E$26103,$A54,Datos!$B$2:$B$26103,20,Datos!$C$2:$C$26103,"&gt;=30",Datos!$F$2:$F$26103,"STANDBY"),0),"")</f>
        <v/>
      </c>
      <c r="AB54" s="7">
        <f>IFERROR(ROUND(AVERAGEIFS(Datos!$G$2:$G$26103,Datos!$E$2:$E$26103,$A54,Datos!$B$2:$B$26103,21,Datos!$C$2:$C$26103,"&lt;30",Datos!$F$2:$F$26103,"STANDBY"),0),"")</f>
        <v/>
      </c>
      <c r="AC54" s="7">
        <f>IFERROR(ROUND(AVERAGEIFS(Datos!$G$2:$G$26103,Datos!$E$2:$E$26103,$A54,Datos!$B$2:$B$26103,21,Datos!$C$2:$C$26103,"&gt;=30",Datos!$F$2:$F$26103,"STANDBY"),0),"")</f>
        <v/>
      </c>
      <c r="AD54" s="7">
        <f>IFERROR(ROUND(AVERAGEIFS(Datos!$G$2:$G$26103,Datos!$E$2:$E$26103,$A54,Datos!$B$2:$B$26103,22,Datos!$C$2:$C$26103,"&lt;30",Datos!$F$2:$F$26103,"STANDBY"),0),"")</f>
        <v/>
      </c>
      <c r="AE54" s="7">
        <f>IFERROR(ROUND(AVERAGEIFS(Datos!$G$2:$G$26103,Datos!$E$2:$E$26103,$A54,Datos!$B$2:$B$26103,22,Datos!$C$2:$C$26103,"&gt;=30",Datos!$F$2:$F$26103,"STANDBY"),0),"")</f>
        <v/>
      </c>
      <c r="AF54" s="7">
        <f>IFERROR(ROUND(AVERAGEIFS(Datos!$G$2:$G$26103,Datos!$E$2:$E$26103,$A54,Datos!$B$2:$B$26103,23,Datos!$C$2:$C$26103,"&lt;30",Datos!$F$2:$F$26103,"STANDBY"),0),"")</f>
        <v/>
      </c>
      <c r="AG54" s="7">
        <f>IFERROR(ROUND(AVERAGEIFS(Datos!$G$2:$G$26103,Datos!$E$2:$E$26103,$A54,Datos!$B$2:$B$26103,23,Datos!$C$2:$C$26103,"&gt;=30",Datos!$F$2:$F$26103,"STANDBY"),0),"")</f>
        <v/>
      </c>
    </row>
    <row r="55">
      <c r="A55" s="6" t="inlineStr">
        <is>
          <t>Pirate Galleon</t>
        </is>
      </c>
      <c r="B55" s="7">
        <f>IFERROR(ROUND(AVERAGEIFS(Datos!$G$2:$G$26103,Datos!$E$2:$E$26103,$A55,Datos!$B$2:$B$26103,8,Datos!$C$2:$C$26103,"&lt;30",Datos!$F$2:$F$26103,"STANDBY"),0),"")</f>
        <v/>
      </c>
      <c r="C55" s="7">
        <f>IFERROR(ROUND(AVERAGEIFS(Datos!$G$2:$G$26103,Datos!$E$2:$E$26103,$A55,Datos!$B$2:$B$26103,8,Datos!$C$2:$C$26103,"&gt;=30",Datos!$F$2:$F$26103,"STANDBY"),0),"")</f>
        <v/>
      </c>
      <c r="D55" s="7">
        <f>IFERROR(ROUND(AVERAGEIFS(Datos!$G$2:$G$26103,Datos!$E$2:$E$26103,$A55,Datos!$B$2:$B$26103,9,Datos!$C$2:$C$26103,"&lt;30",Datos!$F$2:$F$26103,"STANDBY"),0),"")</f>
        <v/>
      </c>
      <c r="E55" s="7">
        <f>IFERROR(ROUND(AVERAGEIFS(Datos!$G$2:$G$26103,Datos!$E$2:$E$26103,$A55,Datos!$B$2:$B$26103,9,Datos!$C$2:$C$26103,"&gt;=30",Datos!$F$2:$F$26103,"STANDBY"),0),"")</f>
        <v/>
      </c>
      <c r="F55" s="7">
        <f>IFERROR(ROUND(AVERAGEIFS(Datos!$G$2:$G$26103,Datos!$E$2:$E$26103,$A55,Datos!$B$2:$B$26103,10,Datos!$C$2:$C$26103,"&lt;30",Datos!$F$2:$F$26103,"STANDBY"),0),"")</f>
        <v/>
      </c>
      <c r="G55" s="7">
        <f>IFERROR(ROUND(AVERAGEIFS(Datos!$G$2:$G$26103,Datos!$E$2:$E$26103,$A55,Datos!$B$2:$B$26103,10,Datos!$C$2:$C$26103,"&gt;=30",Datos!$F$2:$F$26103,"STANDBY"),0),"")</f>
        <v/>
      </c>
      <c r="H55" s="7">
        <f>IFERROR(ROUND(AVERAGEIFS(Datos!$G$2:$G$26103,Datos!$E$2:$E$26103,$A55,Datos!$B$2:$B$26103,11,Datos!$C$2:$C$26103,"&lt;30",Datos!$F$2:$F$26103,"STANDBY"),0),"")</f>
        <v/>
      </c>
      <c r="I55" s="7">
        <f>IFERROR(ROUND(AVERAGEIFS(Datos!$G$2:$G$26103,Datos!$E$2:$E$26103,$A55,Datos!$B$2:$B$26103,11,Datos!$C$2:$C$26103,"&gt;=30",Datos!$F$2:$F$26103,"STANDBY"),0),"")</f>
        <v/>
      </c>
      <c r="J55" s="7">
        <f>IFERROR(ROUND(AVERAGEIFS(Datos!$G$2:$G$26103,Datos!$E$2:$E$26103,$A55,Datos!$B$2:$B$26103,12,Datos!$C$2:$C$26103,"&lt;30",Datos!$F$2:$F$26103,"STANDBY"),0),"")</f>
        <v/>
      </c>
      <c r="K55" s="7">
        <f>IFERROR(ROUND(AVERAGEIFS(Datos!$G$2:$G$26103,Datos!$E$2:$E$26103,$A55,Datos!$B$2:$B$26103,12,Datos!$C$2:$C$26103,"&gt;=30",Datos!$F$2:$F$26103,"STANDBY"),0),"")</f>
        <v/>
      </c>
      <c r="L55" s="7">
        <f>IFERROR(ROUND(AVERAGEIFS(Datos!$G$2:$G$26103,Datos!$E$2:$E$26103,$A55,Datos!$B$2:$B$26103,13,Datos!$C$2:$C$26103,"&lt;30",Datos!$F$2:$F$26103,"STANDBY"),0),"")</f>
        <v/>
      </c>
      <c r="M55" s="7">
        <f>IFERROR(ROUND(AVERAGEIFS(Datos!$G$2:$G$26103,Datos!$E$2:$E$26103,$A55,Datos!$B$2:$B$26103,13,Datos!$C$2:$C$26103,"&gt;=30",Datos!$F$2:$F$26103,"STANDBY"),0),"")</f>
        <v/>
      </c>
      <c r="N55" s="7">
        <f>IFERROR(ROUND(AVERAGEIFS(Datos!$G$2:$G$26103,Datos!$E$2:$E$26103,$A55,Datos!$B$2:$B$26103,14,Datos!$C$2:$C$26103,"&lt;30",Datos!$F$2:$F$26103,"STANDBY"),0),"")</f>
        <v/>
      </c>
      <c r="O55" s="7">
        <f>IFERROR(ROUND(AVERAGEIFS(Datos!$G$2:$G$26103,Datos!$E$2:$E$26103,$A55,Datos!$B$2:$B$26103,14,Datos!$C$2:$C$26103,"&gt;=30",Datos!$F$2:$F$26103,"STANDBY"),0),"")</f>
        <v/>
      </c>
      <c r="P55" s="7">
        <f>IFERROR(ROUND(AVERAGEIFS(Datos!$G$2:$G$26103,Datos!$E$2:$E$26103,$A55,Datos!$B$2:$B$26103,15,Datos!$C$2:$C$26103,"&lt;30",Datos!$F$2:$F$26103,"STANDBY"),0),"")</f>
        <v/>
      </c>
      <c r="Q55" s="7">
        <f>IFERROR(ROUND(AVERAGEIFS(Datos!$G$2:$G$26103,Datos!$E$2:$E$26103,$A55,Datos!$B$2:$B$26103,15,Datos!$C$2:$C$26103,"&gt;=30",Datos!$F$2:$F$26103,"STANDBY"),0),"")</f>
        <v/>
      </c>
      <c r="R55" s="7">
        <f>IFERROR(ROUND(AVERAGEIFS(Datos!$G$2:$G$26103,Datos!$E$2:$E$26103,$A55,Datos!$B$2:$B$26103,16,Datos!$C$2:$C$26103,"&lt;30",Datos!$F$2:$F$26103,"STANDBY"),0),"")</f>
        <v/>
      </c>
      <c r="S55" s="7">
        <f>IFERROR(ROUND(AVERAGEIFS(Datos!$G$2:$G$26103,Datos!$E$2:$E$26103,$A55,Datos!$B$2:$B$26103,16,Datos!$C$2:$C$26103,"&gt;=30",Datos!$F$2:$F$26103,"STANDBY"),0),"")</f>
        <v/>
      </c>
      <c r="T55" s="7">
        <f>IFERROR(ROUND(AVERAGEIFS(Datos!$G$2:$G$26103,Datos!$E$2:$E$26103,$A55,Datos!$B$2:$B$26103,17,Datos!$C$2:$C$26103,"&lt;30",Datos!$F$2:$F$26103,"STANDBY"),0),"")</f>
        <v/>
      </c>
      <c r="U55" s="7">
        <f>IFERROR(ROUND(AVERAGEIFS(Datos!$G$2:$G$26103,Datos!$E$2:$E$26103,$A55,Datos!$B$2:$B$26103,17,Datos!$C$2:$C$26103,"&gt;=30",Datos!$F$2:$F$26103,"STANDBY"),0),"")</f>
        <v/>
      </c>
      <c r="V55" s="7">
        <f>IFERROR(ROUND(AVERAGEIFS(Datos!$G$2:$G$26103,Datos!$E$2:$E$26103,$A55,Datos!$B$2:$B$26103,18,Datos!$C$2:$C$26103,"&lt;30",Datos!$F$2:$F$26103,"STANDBY"),0),"")</f>
        <v/>
      </c>
      <c r="W55" s="7">
        <f>IFERROR(ROUND(AVERAGEIFS(Datos!$G$2:$G$26103,Datos!$E$2:$E$26103,$A55,Datos!$B$2:$B$26103,18,Datos!$C$2:$C$26103,"&gt;=30",Datos!$F$2:$F$26103,"STANDBY"),0),"")</f>
        <v/>
      </c>
      <c r="X55" s="7">
        <f>IFERROR(ROUND(AVERAGEIFS(Datos!$G$2:$G$26103,Datos!$E$2:$E$26103,$A55,Datos!$B$2:$B$26103,19,Datos!$C$2:$C$26103,"&lt;30",Datos!$F$2:$F$26103,"STANDBY"),0),"")</f>
        <v/>
      </c>
      <c r="Y55" s="7">
        <f>IFERROR(ROUND(AVERAGEIFS(Datos!$G$2:$G$26103,Datos!$E$2:$E$26103,$A55,Datos!$B$2:$B$26103,19,Datos!$C$2:$C$26103,"&gt;=30",Datos!$F$2:$F$26103,"STANDBY"),0),"")</f>
        <v/>
      </c>
      <c r="Z55" s="7">
        <f>IFERROR(ROUND(AVERAGEIFS(Datos!$G$2:$G$26103,Datos!$E$2:$E$26103,$A55,Datos!$B$2:$B$26103,20,Datos!$C$2:$C$26103,"&lt;30",Datos!$F$2:$F$26103,"STANDBY"),0),"")</f>
        <v/>
      </c>
      <c r="AA55" s="7">
        <f>IFERROR(ROUND(AVERAGEIFS(Datos!$G$2:$G$26103,Datos!$E$2:$E$26103,$A55,Datos!$B$2:$B$26103,20,Datos!$C$2:$C$26103,"&gt;=30",Datos!$F$2:$F$26103,"STANDBY"),0),"")</f>
        <v/>
      </c>
      <c r="AB55" s="7">
        <f>IFERROR(ROUND(AVERAGEIFS(Datos!$G$2:$G$26103,Datos!$E$2:$E$26103,$A55,Datos!$B$2:$B$26103,21,Datos!$C$2:$C$26103,"&lt;30",Datos!$F$2:$F$26103,"STANDBY"),0),"")</f>
        <v/>
      </c>
      <c r="AC55" s="7">
        <f>IFERROR(ROUND(AVERAGEIFS(Datos!$G$2:$G$26103,Datos!$E$2:$E$26103,$A55,Datos!$B$2:$B$26103,21,Datos!$C$2:$C$26103,"&gt;=30",Datos!$F$2:$F$26103,"STANDBY"),0),"")</f>
        <v/>
      </c>
      <c r="AD55" s="7">
        <f>IFERROR(ROUND(AVERAGEIFS(Datos!$G$2:$G$26103,Datos!$E$2:$E$26103,$A55,Datos!$B$2:$B$26103,22,Datos!$C$2:$C$26103,"&lt;30",Datos!$F$2:$F$26103,"STANDBY"),0),"")</f>
        <v/>
      </c>
      <c r="AE55" s="7">
        <f>IFERROR(ROUND(AVERAGEIFS(Datos!$G$2:$G$26103,Datos!$E$2:$E$26103,$A55,Datos!$B$2:$B$26103,22,Datos!$C$2:$C$26103,"&gt;=30",Datos!$F$2:$F$26103,"STANDBY"),0),"")</f>
        <v/>
      </c>
      <c r="AF55" s="7">
        <f>IFERROR(ROUND(AVERAGEIFS(Datos!$G$2:$G$26103,Datos!$E$2:$E$26103,$A55,Datos!$B$2:$B$26103,23,Datos!$C$2:$C$26103,"&lt;30",Datos!$F$2:$F$26103,"STANDBY"),0),"")</f>
        <v/>
      </c>
      <c r="AG55" s="7">
        <f>IFERROR(ROUND(AVERAGEIFS(Datos!$G$2:$G$26103,Datos!$E$2:$E$26103,$A55,Datos!$B$2:$B$26103,23,Datos!$C$2:$C$26103,"&gt;=30",Datos!$F$2:$F$26103,"STANDBY"),0),"")</f>
        <v/>
      </c>
    </row>
    <row r="56">
      <c r="A56" s="6" t="inlineStr">
        <is>
          <t>Pirates of the Caribbean</t>
        </is>
      </c>
      <c r="B56" s="7">
        <f>IFERROR(ROUND(AVERAGEIFS(Datos!$G$2:$G$26103,Datos!$E$2:$E$26103,$A56,Datos!$B$2:$B$26103,8,Datos!$C$2:$C$26103,"&lt;30",Datos!$F$2:$F$26103,"STANDBY"),0),"")</f>
        <v/>
      </c>
      <c r="C56" s="7">
        <f>IFERROR(ROUND(AVERAGEIFS(Datos!$G$2:$G$26103,Datos!$E$2:$E$26103,$A56,Datos!$B$2:$B$26103,8,Datos!$C$2:$C$26103,"&gt;=30",Datos!$F$2:$F$26103,"STANDBY"),0),"")</f>
        <v/>
      </c>
      <c r="D56" s="7">
        <f>IFERROR(ROUND(AVERAGEIFS(Datos!$G$2:$G$26103,Datos!$E$2:$E$26103,$A56,Datos!$B$2:$B$26103,9,Datos!$C$2:$C$26103,"&lt;30",Datos!$F$2:$F$26103,"STANDBY"),0),"")</f>
        <v/>
      </c>
      <c r="E56" s="7">
        <f>IFERROR(ROUND(AVERAGEIFS(Datos!$G$2:$G$26103,Datos!$E$2:$E$26103,$A56,Datos!$B$2:$B$26103,9,Datos!$C$2:$C$26103,"&gt;=30",Datos!$F$2:$F$26103,"STANDBY"),0),"")</f>
        <v/>
      </c>
      <c r="F56" s="7">
        <f>IFERROR(ROUND(AVERAGEIFS(Datos!$G$2:$G$26103,Datos!$E$2:$E$26103,$A56,Datos!$B$2:$B$26103,10,Datos!$C$2:$C$26103,"&lt;30",Datos!$F$2:$F$26103,"STANDBY"),0),"")</f>
        <v/>
      </c>
      <c r="G56" s="7">
        <f>IFERROR(ROUND(AVERAGEIFS(Datos!$G$2:$G$26103,Datos!$E$2:$E$26103,$A56,Datos!$B$2:$B$26103,10,Datos!$C$2:$C$26103,"&gt;=30",Datos!$F$2:$F$26103,"STANDBY"),0),"")</f>
        <v/>
      </c>
      <c r="H56" s="7">
        <f>IFERROR(ROUND(AVERAGEIFS(Datos!$G$2:$G$26103,Datos!$E$2:$E$26103,$A56,Datos!$B$2:$B$26103,11,Datos!$C$2:$C$26103,"&lt;30",Datos!$F$2:$F$26103,"STANDBY"),0),"")</f>
        <v/>
      </c>
      <c r="I56" s="7">
        <f>IFERROR(ROUND(AVERAGEIFS(Datos!$G$2:$G$26103,Datos!$E$2:$E$26103,$A56,Datos!$B$2:$B$26103,11,Datos!$C$2:$C$26103,"&gt;=30",Datos!$F$2:$F$26103,"STANDBY"),0),"")</f>
        <v/>
      </c>
      <c r="J56" s="7">
        <f>IFERROR(ROUND(AVERAGEIFS(Datos!$G$2:$G$26103,Datos!$E$2:$E$26103,$A56,Datos!$B$2:$B$26103,12,Datos!$C$2:$C$26103,"&lt;30",Datos!$F$2:$F$26103,"STANDBY"),0),"")</f>
        <v/>
      </c>
      <c r="K56" s="7">
        <f>IFERROR(ROUND(AVERAGEIFS(Datos!$G$2:$G$26103,Datos!$E$2:$E$26103,$A56,Datos!$B$2:$B$26103,12,Datos!$C$2:$C$26103,"&gt;=30",Datos!$F$2:$F$26103,"STANDBY"),0),"")</f>
        <v/>
      </c>
      <c r="L56" s="7">
        <f>IFERROR(ROUND(AVERAGEIFS(Datos!$G$2:$G$26103,Datos!$E$2:$E$26103,$A56,Datos!$B$2:$B$26103,13,Datos!$C$2:$C$26103,"&lt;30",Datos!$F$2:$F$26103,"STANDBY"),0),"")</f>
        <v/>
      </c>
      <c r="M56" s="7">
        <f>IFERROR(ROUND(AVERAGEIFS(Datos!$G$2:$G$26103,Datos!$E$2:$E$26103,$A56,Datos!$B$2:$B$26103,13,Datos!$C$2:$C$26103,"&gt;=30",Datos!$F$2:$F$26103,"STANDBY"),0),"")</f>
        <v/>
      </c>
      <c r="N56" s="7">
        <f>IFERROR(ROUND(AVERAGEIFS(Datos!$G$2:$G$26103,Datos!$E$2:$E$26103,$A56,Datos!$B$2:$B$26103,14,Datos!$C$2:$C$26103,"&lt;30",Datos!$F$2:$F$26103,"STANDBY"),0),"")</f>
        <v/>
      </c>
      <c r="O56" s="7">
        <f>IFERROR(ROUND(AVERAGEIFS(Datos!$G$2:$G$26103,Datos!$E$2:$E$26103,$A56,Datos!$B$2:$B$26103,14,Datos!$C$2:$C$26103,"&gt;=30",Datos!$F$2:$F$26103,"STANDBY"),0),"")</f>
        <v/>
      </c>
      <c r="P56" s="7">
        <f>IFERROR(ROUND(AVERAGEIFS(Datos!$G$2:$G$26103,Datos!$E$2:$E$26103,$A56,Datos!$B$2:$B$26103,15,Datos!$C$2:$C$26103,"&lt;30",Datos!$F$2:$F$26103,"STANDBY"),0),"")</f>
        <v/>
      </c>
      <c r="Q56" s="7">
        <f>IFERROR(ROUND(AVERAGEIFS(Datos!$G$2:$G$26103,Datos!$E$2:$E$26103,$A56,Datos!$B$2:$B$26103,15,Datos!$C$2:$C$26103,"&gt;=30",Datos!$F$2:$F$26103,"STANDBY"),0),"")</f>
        <v/>
      </c>
      <c r="R56" s="7">
        <f>IFERROR(ROUND(AVERAGEIFS(Datos!$G$2:$G$26103,Datos!$E$2:$E$26103,$A56,Datos!$B$2:$B$26103,16,Datos!$C$2:$C$26103,"&lt;30",Datos!$F$2:$F$26103,"STANDBY"),0),"")</f>
        <v/>
      </c>
      <c r="S56" s="7">
        <f>IFERROR(ROUND(AVERAGEIFS(Datos!$G$2:$G$26103,Datos!$E$2:$E$26103,$A56,Datos!$B$2:$B$26103,16,Datos!$C$2:$C$26103,"&gt;=30",Datos!$F$2:$F$26103,"STANDBY"),0),"")</f>
        <v/>
      </c>
      <c r="T56" s="7">
        <f>IFERROR(ROUND(AVERAGEIFS(Datos!$G$2:$G$26103,Datos!$E$2:$E$26103,$A56,Datos!$B$2:$B$26103,17,Datos!$C$2:$C$26103,"&lt;30",Datos!$F$2:$F$26103,"STANDBY"),0),"")</f>
        <v/>
      </c>
      <c r="U56" s="7">
        <f>IFERROR(ROUND(AVERAGEIFS(Datos!$G$2:$G$26103,Datos!$E$2:$E$26103,$A56,Datos!$B$2:$B$26103,17,Datos!$C$2:$C$26103,"&gt;=30",Datos!$F$2:$F$26103,"STANDBY"),0),"")</f>
        <v/>
      </c>
      <c r="V56" s="7">
        <f>IFERROR(ROUND(AVERAGEIFS(Datos!$G$2:$G$26103,Datos!$E$2:$E$26103,$A56,Datos!$B$2:$B$26103,18,Datos!$C$2:$C$26103,"&lt;30",Datos!$F$2:$F$26103,"STANDBY"),0),"")</f>
        <v/>
      </c>
      <c r="W56" s="7">
        <f>IFERROR(ROUND(AVERAGEIFS(Datos!$G$2:$G$26103,Datos!$E$2:$E$26103,$A56,Datos!$B$2:$B$26103,18,Datos!$C$2:$C$26103,"&gt;=30",Datos!$F$2:$F$26103,"STANDBY"),0),"")</f>
        <v/>
      </c>
      <c r="X56" s="7">
        <f>IFERROR(ROUND(AVERAGEIFS(Datos!$G$2:$G$26103,Datos!$E$2:$E$26103,$A56,Datos!$B$2:$B$26103,19,Datos!$C$2:$C$26103,"&lt;30",Datos!$F$2:$F$26103,"STANDBY"),0),"")</f>
        <v/>
      </c>
      <c r="Y56" s="7">
        <f>IFERROR(ROUND(AVERAGEIFS(Datos!$G$2:$G$26103,Datos!$E$2:$E$26103,$A56,Datos!$B$2:$B$26103,19,Datos!$C$2:$C$26103,"&gt;=30",Datos!$F$2:$F$26103,"STANDBY"),0),"")</f>
        <v/>
      </c>
      <c r="Z56" s="7">
        <f>IFERROR(ROUND(AVERAGEIFS(Datos!$G$2:$G$26103,Datos!$E$2:$E$26103,$A56,Datos!$B$2:$B$26103,20,Datos!$C$2:$C$26103,"&lt;30",Datos!$F$2:$F$26103,"STANDBY"),0),"")</f>
        <v/>
      </c>
      <c r="AA56" s="7">
        <f>IFERROR(ROUND(AVERAGEIFS(Datos!$G$2:$G$26103,Datos!$E$2:$E$26103,$A56,Datos!$B$2:$B$26103,20,Datos!$C$2:$C$26103,"&gt;=30",Datos!$F$2:$F$26103,"STANDBY"),0),"")</f>
        <v/>
      </c>
      <c r="AB56" s="7">
        <f>IFERROR(ROUND(AVERAGEIFS(Datos!$G$2:$G$26103,Datos!$E$2:$E$26103,$A56,Datos!$B$2:$B$26103,21,Datos!$C$2:$C$26103,"&lt;30",Datos!$F$2:$F$26103,"STANDBY"),0),"")</f>
        <v/>
      </c>
      <c r="AC56" s="7">
        <f>IFERROR(ROUND(AVERAGEIFS(Datos!$G$2:$G$26103,Datos!$E$2:$E$26103,$A56,Datos!$B$2:$B$26103,21,Datos!$C$2:$C$26103,"&gt;=30",Datos!$F$2:$F$26103,"STANDBY"),0),"")</f>
        <v/>
      </c>
      <c r="AD56" s="7">
        <f>IFERROR(ROUND(AVERAGEIFS(Datos!$G$2:$G$26103,Datos!$E$2:$E$26103,$A56,Datos!$B$2:$B$26103,22,Datos!$C$2:$C$26103,"&lt;30",Datos!$F$2:$F$26103,"STANDBY"),0),"")</f>
        <v/>
      </c>
      <c r="AE56" s="7">
        <f>IFERROR(ROUND(AVERAGEIFS(Datos!$G$2:$G$26103,Datos!$E$2:$E$26103,$A56,Datos!$B$2:$B$26103,22,Datos!$C$2:$C$26103,"&gt;=30",Datos!$F$2:$F$26103,"STANDBY"),0),"")</f>
        <v/>
      </c>
      <c r="AF56" s="7">
        <f>IFERROR(ROUND(AVERAGEIFS(Datos!$G$2:$G$26103,Datos!$E$2:$E$26103,$A56,Datos!$B$2:$B$26103,23,Datos!$C$2:$C$26103,"&lt;30",Datos!$F$2:$F$26103,"STANDBY"),0),"")</f>
        <v/>
      </c>
      <c r="AG56" s="7">
        <f>IFERROR(ROUND(AVERAGEIFS(Datos!$G$2:$G$26103,Datos!$E$2:$E$26103,$A56,Datos!$B$2:$B$26103,23,Datos!$C$2:$C$26103,"&gt;=30",Datos!$F$2:$F$26103,"STANDBY"),0),"")</f>
        <v/>
      </c>
    </row>
    <row r="57">
      <c r="A57" s="6" t="inlineStr">
        <is>
          <t>Pirates' Beach</t>
        </is>
      </c>
      <c r="B57" s="7">
        <f>IFERROR(ROUND(AVERAGEIFS(Datos!$G$2:$G$26103,Datos!$E$2:$E$26103,$A57,Datos!$B$2:$B$26103,8,Datos!$C$2:$C$26103,"&lt;30",Datos!$F$2:$F$26103,"STANDBY"),0),"")</f>
        <v/>
      </c>
      <c r="C57" s="7">
        <f>IFERROR(ROUND(AVERAGEIFS(Datos!$G$2:$G$26103,Datos!$E$2:$E$26103,$A57,Datos!$B$2:$B$26103,8,Datos!$C$2:$C$26103,"&gt;=30",Datos!$F$2:$F$26103,"STANDBY"),0),"")</f>
        <v/>
      </c>
      <c r="D57" s="7">
        <f>IFERROR(ROUND(AVERAGEIFS(Datos!$G$2:$G$26103,Datos!$E$2:$E$26103,$A57,Datos!$B$2:$B$26103,9,Datos!$C$2:$C$26103,"&lt;30",Datos!$F$2:$F$26103,"STANDBY"),0),"")</f>
        <v/>
      </c>
      <c r="E57" s="7">
        <f>IFERROR(ROUND(AVERAGEIFS(Datos!$G$2:$G$26103,Datos!$E$2:$E$26103,$A57,Datos!$B$2:$B$26103,9,Datos!$C$2:$C$26103,"&gt;=30",Datos!$F$2:$F$26103,"STANDBY"),0),"")</f>
        <v/>
      </c>
      <c r="F57" s="7">
        <f>IFERROR(ROUND(AVERAGEIFS(Datos!$G$2:$G$26103,Datos!$E$2:$E$26103,$A57,Datos!$B$2:$B$26103,10,Datos!$C$2:$C$26103,"&lt;30",Datos!$F$2:$F$26103,"STANDBY"),0),"")</f>
        <v/>
      </c>
      <c r="G57" s="7">
        <f>IFERROR(ROUND(AVERAGEIFS(Datos!$G$2:$G$26103,Datos!$E$2:$E$26103,$A57,Datos!$B$2:$B$26103,10,Datos!$C$2:$C$26103,"&gt;=30",Datos!$F$2:$F$26103,"STANDBY"),0),"")</f>
        <v/>
      </c>
      <c r="H57" s="7">
        <f>IFERROR(ROUND(AVERAGEIFS(Datos!$G$2:$G$26103,Datos!$E$2:$E$26103,$A57,Datos!$B$2:$B$26103,11,Datos!$C$2:$C$26103,"&lt;30",Datos!$F$2:$F$26103,"STANDBY"),0),"")</f>
        <v/>
      </c>
      <c r="I57" s="7">
        <f>IFERROR(ROUND(AVERAGEIFS(Datos!$G$2:$G$26103,Datos!$E$2:$E$26103,$A57,Datos!$B$2:$B$26103,11,Datos!$C$2:$C$26103,"&gt;=30",Datos!$F$2:$F$26103,"STANDBY"),0),"")</f>
        <v/>
      </c>
      <c r="J57" s="7">
        <f>IFERROR(ROUND(AVERAGEIFS(Datos!$G$2:$G$26103,Datos!$E$2:$E$26103,$A57,Datos!$B$2:$B$26103,12,Datos!$C$2:$C$26103,"&lt;30",Datos!$F$2:$F$26103,"STANDBY"),0),"")</f>
        <v/>
      </c>
      <c r="K57" s="7">
        <f>IFERROR(ROUND(AVERAGEIFS(Datos!$G$2:$G$26103,Datos!$E$2:$E$26103,$A57,Datos!$B$2:$B$26103,12,Datos!$C$2:$C$26103,"&gt;=30",Datos!$F$2:$F$26103,"STANDBY"),0),"")</f>
        <v/>
      </c>
      <c r="L57" s="7">
        <f>IFERROR(ROUND(AVERAGEIFS(Datos!$G$2:$G$26103,Datos!$E$2:$E$26103,$A57,Datos!$B$2:$B$26103,13,Datos!$C$2:$C$26103,"&lt;30",Datos!$F$2:$F$26103,"STANDBY"),0),"")</f>
        <v/>
      </c>
      <c r="M57" s="7">
        <f>IFERROR(ROUND(AVERAGEIFS(Datos!$G$2:$G$26103,Datos!$E$2:$E$26103,$A57,Datos!$B$2:$B$26103,13,Datos!$C$2:$C$26103,"&gt;=30",Datos!$F$2:$F$26103,"STANDBY"),0),"")</f>
        <v/>
      </c>
      <c r="N57" s="7">
        <f>IFERROR(ROUND(AVERAGEIFS(Datos!$G$2:$G$26103,Datos!$E$2:$E$26103,$A57,Datos!$B$2:$B$26103,14,Datos!$C$2:$C$26103,"&lt;30",Datos!$F$2:$F$26103,"STANDBY"),0),"")</f>
        <v/>
      </c>
      <c r="O57" s="7">
        <f>IFERROR(ROUND(AVERAGEIFS(Datos!$G$2:$G$26103,Datos!$E$2:$E$26103,$A57,Datos!$B$2:$B$26103,14,Datos!$C$2:$C$26103,"&gt;=30",Datos!$F$2:$F$26103,"STANDBY"),0),"")</f>
        <v/>
      </c>
      <c r="P57" s="7">
        <f>IFERROR(ROUND(AVERAGEIFS(Datos!$G$2:$G$26103,Datos!$E$2:$E$26103,$A57,Datos!$B$2:$B$26103,15,Datos!$C$2:$C$26103,"&lt;30",Datos!$F$2:$F$26103,"STANDBY"),0),"")</f>
        <v/>
      </c>
      <c r="Q57" s="7">
        <f>IFERROR(ROUND(AVERAGEIFS(Datos!$G$2:$G$26103,Datos!$E$2:$E$26103,$A57,Datos!$B$2:$B$26103,15,Datos!$C$2:$C$26103,"&gt;=30",Datos!$F$2:$F$26103,"STANDBY"),0),"")</f>
        <v/>
      </c>
      <c r="R57" s="7">
        <f>IFERROR(ROUND(AVERAGEIFS(Datos!$G$2:$G$26103,Datos!$E$2:$E$26103,$A57,Datos!$B$2:$B$26103,16,Datos!$C$2:$C$26103,"&lt;30",Datos!$F$2:$F$26103,"STANDBY"),0),"")</f>
        <v/>
      </c>
      <c r="S57" s="7">
        <f>IFERROR(ROUND(AVERAGEIFS(Datos!$G$2:$G$26103,Datos!$E$2:$E$26103,$A57,Datos!$B$2:$B$26103,16,Datos!$C$2:$C$26103,"&gt;=30",Datos!$F$2:$F$26103,"STANDBY"),0),"")</f>
        <v/>
      </c>
      <c r="T57" s="7">
        <f>IFERROR(ROUND(AVERAGEIFS(Datos!$G$2:$G$26103,Datos!$E$2:$E$26103,$A57,Datos!$B$2:$B$26103,17,Datos!$C$2:$C$26103,"&lt;30",Datos!$F$2:$F$26103,"STANDBY"),0),"")</f>
        <v/>
      </c>
      <c r="U57" s="7">
        <f>IFERROR(ROUND(AVERAGEIFS(Datos!$G$2:$G$26103,Datos!$E$2:$E$26103,$A57,Datos!$B$2:$B$26103,17,Datos!$C$2:$C$26103,"&gt;=30",Datos!$F$2:$F$26103,"STANDBY"),0),"")</f>
        <v/>
      </c>
      <c r="V57" s="7">
        <f>IFERROR(ROUND(AVERAGEIFS(Datos!$G$2:$G$26103,Datos!$E$2:$E$26103,$A57,Datos!$B$2:$B$26103,18,Datos!$C$2:$C$26103,"&lt;30",Datos!$F$2:$F$26103,"STANDBY"),0),"")</f>
        <v/>
      </c>
      <c r="W57" s="7">
        <f>IFERROR(ROUND(AVERAGEIFS(Datos!$G$2:$G$26103,Datos!$E$2:$E$26103,$A57,Datos!$B$2:$B$26103,18,Datos!$C$2:$C$26103,"&gt;=30",Datos!$F$2:$F$26103,"STANDBY"),0),"")</f>
        <v/>
      </c>
      <c r="X57" s="7">
        <f>IFERROR(ROUND(AVERAGEIFS(Datos!$G$2:$G$26103,Datos!$E$2:$E$26103,$A57,Datos!$B$2:$B$26103,19,Datos!$C$2:$C$26103,"&lt;30",Datos!$F$2:$F$26103,"STANDBY"),0),"")</f>
        <v/>
      </c>
      <c r="Y57" s="7">
        <f>IFERROR(ROUND(AVERAGEIFS(Datos!$G$2:$G$26103,Datos!$E$2:$E$26103,$A57,Datos!$B$2:$B$26103,19,Datos!$C$2:$C$26103,"&gt;=30",Datos!$F$2:$F$26103,"STANDBY"),0),"")</f>
        <v/>
      </c>
      <c r="Z57" s="7">
        <f>IFERROR(ROUND(AVERAGEIFS(Datos!$G$2:$G$26103,Datos!$E$2:$E$26103,$A57,Datos!$B$2:$B$26103,20,Datos!$C$2:$C$26103,"&lt;30",Datos!$F$2:$F$26103,"STANDBY"),0),"")</f>
        <v/>
      </c>
      <c r="AA57" s="7">
        <f>IFERROR(ROUND(AVERAGEIFS(Datos!$G$2:$G$26103,Datos!$E$2:$E$26103,$A57,Datos!$B$2:$B$26103,20,Datos!$C$2:$C$26103,"&gt;=30",Datos!$F$2:$F$26103,"STANDBY"),0),"")</f>
        <v/>
      </c>
      <c r="AB57" s="7">
        <f>IFERROR(ROUND(AVERAGEIFS(Datos!$G$2:$G$26103,Datos!$E$2:$E$26103,$A57,Datos!$B$2:$B$26103,21,Datos!$C$2:$C$26103,"&lt;30",Datos!$F$2:$F$26103,"STANDBY"),0),"")</f>
        <v/>
      </c>
      <c r="AC57" s="7">
        <f>IFERROR(ROUND(AVERAGEIFS(Datos!$G$2:$G$26103,Datos!$E$2:$E$26103,$A57,Datos!$B$2:$B$26103,21,Datos!$C$2:$C$26103,"&gt;=30",Datos!$F$2:$F$26103,"STANDBY"),0),"")</f>
        <v/>
      </c>
      <c r="AD57" s="7">
        <f>IFERROR(ROUND(AVERAGEIFS(Datos!$G$2:$G$26103,Datos!$E$2:$E$26103,$A57,Datos!$B$2:$B$26103,22,Datos!$C$2:$C$26103,"&lt;30",Datos!$F$2:$F$26103,"STANDBY"),0),"")</f>
        <v/>
      </c>
      <c r="AE57" s="7">
        <f>IFERROR(ROUND(AVERAGEIFS(Datos!$G$2:$G$26103,Datos!$E$2:$E$26103,$A57,Datos!$B$2:$B$26103,22,Datos!$C$2:$C$26103,"&gt;=30",Datos!$F$2:$F$26103,"STANDBY"),0),"")</f>
        <v/>
      </c>
      <c r="AF57" s="7">
        <f>IFERROR(ROUND(AVERAGEIFS(Datos!$G$2:$G$26103,Datos!$E$2:$E$26103,$A57,Datos!$B$2:$B$26103,23,Datos!$C$2:$C$26103,"&lt;30",Datos!$F$2:$F$26103,"STANDBY"),0),"")</f>
        <v/>
      </c>
      <c r="AG57" s="7">
        <f>IFERROR(ROUND(AVERAGEIFS(Datos!$G$2:$G$26103,Datos!$E$2:$E$26103,$A57,Datos!$B$2:$B$26103,23,Datos!$C$2:$C$26103,"&gt;=30",Datos!$F$2:$F$26103,"STANDBY"),0),"")</f>
        <v/>
      </c>
    </row>
    <row r="58">
      <c r="A58" s="6" t="inlineStr">
        <is>
          <t>Princess Pavilion</t>
        </is>
      </c>
      <c r="B58" s="7">
        <f>IFERROR(ROUND(AVERAGEIFS(Datos!$G$2:$G$26103,Datos!$E$2:$E$26103,$A58,Datos!$B$2:$B$26103,8,Datos!$C$2:$C$26103,"&lt;30",Datos!$F$2:$F$26103,"STANDBY"),0),"")</f>
        <v/>
      </c>
      <c r="C58" s="7">
        <f>IFERROR(ROUND(AVERAGEIFS(Datos!$G$2:$G$26103,Datos!$E$2:$E$26103,$A58,Datos!$B$2:$B$26103,8,Datos!$C$2:$C$26103,"&gt;=30",Datos!$F$2:$F$26103,"STANDBY"),0),"")</f>
        <v/>
      </c>
      <c r="D58" s="7">
        <f>IFERROR(ROUND(AVERAGEIFS(Datos!$G$2:$G$26103,Datos!$E$2:$E$26103,$A58,Datos!$B$2:$B$26103,9,Datos!$C$2:$C$26103,"&lt;30",Datos!$F$2:$F$26103,"STANDBY"),0),"")</f>
        <v/>
      </c>
      <c r="E58" s="7">
        <f>IFERROR(ROUND(AVERAGEIFS(Datos!$G$2:$G$26103,Datos!$E$2:$E$26103,$A58,Datos!$B$2:$B$26103,9,Datos!$C$2:$C$26103,"&gt;=30",Datos!$F$2:$F$26103,"STANDBY"),0),"")</f>
        <v/>
      </c>
      <c r="F58" s="7">
        <f>IFERROR(ROUND(AVERAGEIFS(Datos!$G$2:$G$26103,Datos!$E$2:$E$26103,$A58,Datos!$B$2:$B$26103,10,Datos!$C$2:$C$26103,"&lt;30",Datos!$F$2:$F$26103,"STANDBY"),0),"")</f>
        <v/>
      </c>
      <c r="G58" s="7">
        <f>IFERROR(ROUND(AVERAGEIFS(Datos!$G$2:$G$26103,Datos!$E$2:$E$26103,$A58,Datos!$B$2:$B$26103,10,Datos!$C$2:$C$26103,"&gt;=30",Datos!$F$2:$F$26103,"STANDBY"),0),"")</f>
        <v/>
      </c>
      <c r="H58" s="7">
        <f>IFERROR(ROUND(AVERAGEIFS(Datos!$G$2:$G$26103,Datos!$E$2:$E$26103,$A58,Datos!$B$2:$B$26103,11,Datos!$C$2:$C$26103,"&lt;30",Datos!$F$2:$F$26103,"STANDBY"),0),"")</f>
        <v/>
      </c>
      <c r="I58" s="7">
        <f>IFERROR(ROUND(AVERAGEIFS(Datos!$G$2:$G$26103,Datos!$E$2:$E$26103,$A58,Datos!$B$2:$B$26103,11,Datos!$C$2:$C$26103,"&gt;=30",Datos!$F$2:$F$26103,"STANDBY"),0),"")</f>
        <v/>
      </c>
      <c r="J58" s="7">
        <f>IFERROR(ROUND(AVERAGEIFS(Datos!$G$2:$G$26103,Datos!$E$2:$E$26103,$A58,Datos!$B$2:$B$26103,12,Datos!$C$2:$C$26103,"&lt;30",Datos!$F$2:$F$26103,"STANDBY"),0),"")</f>
        <v/>
      </c>
      <c r="K58" s="7">
        <f>IFERROR(ROUND(AVERAGEIFS(Datos!$G$2:$G$26103,Datos!$E$2:$E$26103,$A58,Datos!$B$2:$B$26103,12,Datos!$C$2:$C$26103,"&gt;=30",Datos!$F$2:$F$26103,"STANDBY"),0),"")</f>
        <v/>
      </c>
      <c r="L58" s="7">
        <f>IFERROR(ROUND(AVERAGEIFS(Datos!$G$2:$G$26103,Datos!$E$2:$E$26103,$A58,Datos!$B$2:$B$26103,13,Datos!$C$2:$C$26103,"&lt;30",Datos!$F$2:$F$26103,"STANDBY"),0),"")</f>
        <v/>
      </c>
      <c r="M58" s="7">
        <f>IFERROR(ROUND(AVERAGEIFS(Datos!$G$2:$G$26103,Datos!$E$2:$E$26103,$A58,Datos!$B$2:$B$26103,13,Datos!$C$2:$C$26103,"&gt;=30",Datos!$F$2:$F$26103,"STANDBY"),0),"")</f>
        <v/>
      </c>
      <c r="N58" s="7">
        <f>IFERROR(ROUND(AVERAGEIFS(Datos!$G$2:$G$26103,Datos!$E$2:$E$26103,$A58,Datos!$B$2:$B$26103,14,Datos!$C$2:$C$26103,"&lt;30",Datos!$F$2:$F$26103,"STANDBY"),0),"")</f>
        <v/>
      </c>
      <c r="O58" s="7">
        <f>IFERROR(ROUND(AVERAGEIFS(Datos!$G$2:$G$26103,Datos!$E$2:$E$26103,$A58,Datos!$B$2:$B$26103,14,Datos!$C$2:$C$26103,"&gt;=30",Datos!$F$2:$F$26103,"STANDBY"),0),"")</f>
        <v/>
      </c>
      <c r="P58" s="7">
        <f>IFERROR(ROUND(AVERAGEIFS(Datos!$G$2:$G$26103,Datos!$E$2:$E$26103,$A58,Datos!$B$2:$B$26103,15,Datos!$C$2:$C$26103,"&lt;30",Datos!$F$2:$F$26103,"STANDBY"),0),"")</f>
        <v/>
      </c>
      <c r="Q58" s="7">
        <f>IFERROR(ROUND(AVERAGEIFS(Datos!$G$2:$G$26103,Datos!$E$2:$E$26103,$A58,Datos!$B$2:$B$26103,15,Datos!$C$2:$C$26103,"&gt;=30",Datos!$F$2:$F$26103,"STANDBY"),0),"")</f>
        <v/>
      </c>
      <c r="R58" s="7">
        <f>IFERROR(ROUND(AVERAGEIFS(Datos!$G$2:$G$26103,Datos!$E$2:$E$26103,$A58,Datos!$B$2:$B$26103,16,Datos!$C$2:$C$26103,"&lt;30",Datos!$F$2:$F$26103,"STANDBY"),0),"")</f>
        <v/>
      </c>
      <c r="S58" s="7">
        <f>IFERROR(ROUND(AVERAGEIFS(Datos!$G$2:$G$26103,Datos!$E$2:$E$26103,$A58,Datos!$B$2:$B$26103,16,Datos!$C$2:$C$26103,"&gt;=30",Datos!$F$2:$F$26103,"STANDBY"),0),"")</f>
        <v/>
      </c>
      <c r="T58" s="7">
        <f>IFERROR(ROUND(AVERAGEIFS(Datos!$G$2:$G$26103,Datos!$E$2:$E$26103,$A58,Datos!$B$2:$B$26103,17,Datos!$C$2:$C$26103,"&lt;30",Datos!$F$2:$F$26103,"STANDBY"),0),"")</f>
        <v/>
      </c>
      <c r="U58" s="7">
        <f>IFERROR(ROUND(AVERAGEIFS(Datos!$G$2:$G$26103,Datos!$E$2:$E$26103,$A58,Datos!$B$2:$B$26103,17,Datos!$C$2:$C$26103,"&gt;=30",Datos!$F$2:$F$26103,"STANDBY"),0),"")</f>
        <v/>
      </c>
      <c r="V58" s="7">
        <f>IFERROR(ROUND(AVERAGEIFS(Datos!$G$2:$G$26103,Datos!$E$2:$E$26103,$A58,Datos!$B$2:$B$26103,18,Datos!$C$2:$C$26103,"&lt;30",Datos!$F$2:$F$26103,"STANDBY"),0),"")</f>
        <v/>
      </c>
      <c r="W58" s="7">
        <f>IFERROR(ROUND(AVERAGEIFS(Datos!$G$2:$G$26103,Datos!$E$2:$E$26103,$A58,Datos!$B$2:$B$26103,18,Datos!$C$2:$C$26103,"&gt;=30",Datos!$F$2:$F$26103,"STANDBY"),0),"")</f>
        <v/>
      </c>
      <c r="X58" s="7">
        <f>IFERROR(ROUND(AVERAGEIFS(Datos!$G$2:$G$26103,Datos!$E$2:$E$26103,$A58,Datos!$B$2:$B$26103,19,Datos!$C$2:$C$26103,"&lt;30",Datos!$F$2:$F$26103,"STANDBY"),0),"")</f>
        <v/>
      </c>
      <c r="Y58" s="7">
        <f>IFERROR(ROUND(AVERAGEIFS(Datos!$G$2:$G$26103,Datos!$E$2:$E$26103,$A58,Datos!$B$2:$B$26103,19,Datos!$C$2:$C$26103,"&gt;=30",Datos!$F$2:$F$26103,"STANDBY"),0),"")</f>
        <v/>
      </c>
      <c r="Z58" s="7">
        <f>IFERROR(ROUND(AVERAGEIFS(Datos!$G$2:$G$26103,Datos!$E$2:$E$26103,$A58,Datos!$B$2:$B$26103,20,Datos!$C$2:$C$26103,"&lt;30",Datos!$F$2:$F$26103,"STANDBY"),0),"")</f>
        <v/>
      </c>
      <c r="AA58" s="7">
        <f>IFERROR(ROUND(AVERAGEIFS(Datos!$G$2:$G$26103,Datos!$E$2:$E$26103,$A58,Datos!$B$2:$B$26103,20,Datos!$C$2:$C$26103,"&gt;=30",Datos!$F$2:$F$26103,"STANDBY"),0),"")</f>
        <v/>
      </c>
      <c r="AB58" s="7">
        <f>IFERROR(ROUND(AVERAGEIFS(Datos!$G$2:$G$26103,Datos!$E$2:$E$26103,$A58,Datos!$B$2:$B$26103,21,Datos!$C$2:$C$26103,"&lt;30",Datos!$F$2:$F$26103,"STANDBY"),0),"")</f>
        <v/>
      </c>
      <c r="AC58" s="7">
        <f>IFERROR(ROUND(AVERAGEIFS(Datos!$G$2:$G$26103,Datos!$E$2:$E$26103,$A58,Datos!$B$2:$B$26103,21,Datos!$C$2:$C$26103,"&gt;=30",Datos!$F$2:$F$26103,"STANDBY"),0),"")</f>
        <v/>
      </c>
      <c r="AD58" s="7">
        <f>IFERROR(ROUND(AVERAGEIFS(Datos!$G$2:$G$26103,Datos!$E$2:$E$26103,$A58,Datos!$B$2:$B$26103,22,Datos!$C$2:$C$26103,"&lt;30",Datos!$F$2:$F$26103,"STANDBY"),0),"")</f>
        <v/>
      </c>
      <c r="AE58" s="7">
        <f>IFERROR(ROUND(AVERAGEIFS(Datos!$G$2:$G$26103,Datos!$E$2:$E$26103,$A58,Datos!$B$2:$B$26103,22,Datos!$C$2:$C$26103,"&gt;=30",Datos!$F$2:$F$26103,"STANDBY"),0),"")</f>
        <v/>
      </c>
      <c r="AF58" s="7">
        <f>IFERROR(ROUND(AVERAGEIFS(Datos!$G$2:$G$26103,Datos!$E$2:$E$26103,$A58,Datos!$B$2:$B$26103,23,Datos!$C$2:$C$26103,"&lt;30",Datos!$F$2:$F$26103,"STANDBY"),0),"")</f>
        <v/>
      </c>
      <c r="AG58" s="7">
        <f>IFERROR(ROUND(AVERAGEIFS(Datos!$G$2:$G$26103,Datos!$E$2:$E$26103,$A58,Datos!$B$2:$B$26103,23,Datos!$C$2:$C$26103,"&gt;=30",Datos!$F$2:$F$26103,"STANDBY"),0),"")</f>
        <v/>
      </c>
    </row>
    <row r="59">
      <c r="A59" s="6" t="inlineStr">
        <is>
          <t>River Rogue Keelboats</t>
        </is>
      </c>
      <c r="B59" s="7">
        <f>IFERROR(ROUND(AVERAGEIFS(Datos!$G$2:$G$26103,Datos!$E$2:$E$26103,$A59,Datos!$B$2:$B$26103,8,Datos!$C$2:$C$26103,"&lt;30",Datos!$F$2:$F$26103,"STANDBY"),0),"")</f>
        <v/>
      </c>
      <c r="C59" s="7">
        <f>IFERROR(ROUND(AVERAGEIFS(Datos!$G$2:$G$26103,Datos!$E$2:$E$26103,$A59,Datos!$B$2:$B$26103,8,Datos!$C$2:$C$26103,"&gt;=30",Datos!$F$2:$F$26103,"STANDBY"),0),"")</f>
        <v/>
      </c>
      <c r="D59" s="7">
        <f>IFERROR(ROUND(AVERAGEIFS(Datos!$G$2:$G$26103,Datos!$E$2:$E$26103,$A59,Datos!$B$2:$B$26103,9,Datos!$C$2:$C$26103,"&lt;30",Datos!$F$2:$F$26103,"STANDBY"),0),"")</f>
        <v/>
      </c>
      <c r="E59" s="7">
        <f>IFERROR(ROUND(AVERAGEIFS(Datos!$G$2:$G$26103,Datos!$E$2:$E$26103,$A59,Datos!$B$2:$B$26103,9,Datos!$C$2:$C$26103,"&gt;=30",Datos!$F$2:$F$26103,"STANDBY"),0),"")</f>
        <v/>
      </c>
      <c r="F59" s="7">
        <f>IFERROR(ROUND(AVERAGEIFS(Datos!$G$2:$G$26103,Datos!$E$2:$E$26103,$A59,Datos!$B$2:$B$26103,10,Datos!$C$2:$C$26103,"&lt;30",Datos!$F$2:$F$26103,"STANDBY"),0),"")</f>
        <v/>
      </c>
      <c r="G59" s="7">
        <f>IFERROR(ROUND(AVERAGEIFS(Datos!$G$2:$G$26103,Datos!$E$2:$E$26103,$A59,Datos!$B$2:$B$26103,10,Datos!$C$2:$C$26103,"&gt;=30",Datos!$F$2:$F$26103,"STANDBY"),0),"")</f>
        <v/>
      </c>
      <c r="H59" s="7">
        <f>IFERROR(ROUND(AVERAGEIFS(Datos!$G$2:$G$26103,Datos!$E$2:$E$26103,$A59,Datos!$B$2:$B$26103,11,Datos!$C$2:$C$26103,"&lt;30",Datos!$F$2:$F$26103,"STANDBY"),0),"")</f>
        <v/>
      </c>
      <c r="I59" s="7">
        <f>IFERROR(ROUND(AVERAGEIFS(Datos!$G$2:$G$26103,Datos!$E$2:$E$26103,$A59,Datos!$B$2:$B$26103,11,Datos!$C$2:$C$26103,"&gt;=30",Datos!$F$2:$F$26103,"STANDBY"),0),"")</f>
        <v/>
      </c>
      <c r="J59" s="7">
        <f>IFERROR(ROUND(AVERAGEIFS(Datos!$G$2:$G$26103,Datos!$E$2:$E$26103,$A59,Datos!$B$2:$B$26103,12,Datos!$C$2:$C$26103,"&lt;30",Datos!$F$2:$F$26103,"STANDBY"),0),"")</f>
        <v/>
      </c>
      <c r="K59" s="7">
        <f>IFERROR(ROUND(AVERAGEIFS(Datos!$G$2:$G$26103,Datos!$E$2:$E$26103,$A59,Datos!$B$2:$B$26103,12,Datos!$C$2:$C$26103,"&gt;=30",Datos!$F$2:$F$26103,"STANDBY"),0),"")</f>
        <v/>
      </c>
      <c r="L59" s="7">
        <f>IFERROR(ROUND(AVERAGEIFS(Datos!$G$2:$G$26103,Datos!$E$2:$E$26103,$A59,Datos!$B$2:$B$26103,13,Datos!$C$2:$C$26103,"&lt;30",Datos!$F$2:$F$26103,"STANDBY"),0),"")</f>
        <v/>
      </c>
      <c r="M59" s="7">
        <f>IFERROR(ROUND(AVERAGEIFS(Datos!$G$2:$G$26103,Datos!$E$2:$E$26103,$A59,Datos!$B$2:$B$26103,13,Datos!$C$2:$C$26103,"&gt;=30",Datos!$F$2:$F$26103,"STANDBY"),0),"")</f>
        <v/>
      </c>
      <c r="N59" s="7">
        <f>IFERROR(ROUND(AVERAGEIFS(Datos!$G$2:$G$26103,Datos!$E$2:$E$26103,$A59,Datos!$B$2:$B$26103,14,Datos!$C$2:$C$26103,"&lt;30",Datos!$F$2:$F$26103,"STANDBY"),0),"")</f>
        <v/>
      </c>
      <c r="O59" s="7">
        <f>IFERROR(ROUND(AVERAGEIFS(Datos!$G$2:$G$26103,Datos!$E$2:$E$26103,$A59,Datos!$B$2:$B$26103,14,Datos!$C$2:$C$26103,"&gt;=30",Datos!$F$2:$F$26103,"STANDBY"),0),"")</f>
        <v/>
      </c>
      <c r="P59" s="7">
        <f>IFERROR(ROUND(AVERAGEIFS(Datos!$G$2:$G$26103,Datos!$E$2:$E$26103,$A59,Datos!$B$2:$B$26103,15,Datos!$C$2:$C$26103,"&lt;30",Datos!$F$2:$F$26103,"STANDBY"),0),"")</f>
        <v/>
      </c>
      <c r="Q59" s="7">
        <f>IFERROR(ROUND(AVERAGEIFS(Datos!$G$2:$G$26103,Datos!$E$2:$E$26103,$A59,Datos!$B$2:$B$26103,15,Datos!$C$2:$C$26103,"&gt;=30",Datos!$F$2:$F$26103,"STANDBY"),0),"")</f>
        <v/>
      </c>
      <c r="R59" s="7">
        <f>IFERROR(ROUND(AVERAGEIFS(Datos!$G$2:$G$26103,Datos!$E$2:$E$26103,$A59,Datos!$B$2:$B$26103,16,Datos!$C$2:$C$26103,"&lt;30",Datos!$F$2:$F$26103,"STANDBY"),0),"")</f>
        <v/>
      </c>
      <c r="S59" s="7">
        <f>IFERROR(ROUND(AVERAGEIFS(Datos!$G$2:$G$26103,Datos!$E$2:$E$26103,$A59,Datos!$B$2:$B$26103,16,Datos!$C$2:$C$26103,"&gt;=30",Datos!$F$2:$F$26103,"STANDBY"),0),"")</f>
        <v/>
      </c>
      <c r="T59" s="7">
        <f>IFERROR(ROUND(AVERAGEIFS(Datos!$G$2:$G$26103,Datos!$E$2:$E$26103,$A59,Datos!$B$2:$B$26103,17,Datos!$C$2:$C$26103,"&lt;30",Datos!$F$2:$F$26103,"STANDBY"),0),"")</f>
        <v/>
      </c>
      <c r="U59" s="7">
        <f>IFERROR(ROUND(AVERAGEIFS(Datos!$G$2:$G$26103,Datos!$E$2:$E$26103,$A59,Datos!$B$2:$B$26103,17,Datos!$C$2:$C$26103,"&gt;=30",Datos!$F$2:$F$26103,"STANDBY"),0),"")</f>
        <v/>
      </c>
      <c r="V59" s="7">
        <f>IFERROR(ROUND(AVERAGEIFS(Datos!$G$2:$G$26103,Datos!$E$2:$E$26103,$A59,Datos!$B$2:$B$26103,18,Datos!$C$2:$C$26103,"&lt;30",Datos!$F$2:$F$26103,"STANDBY"),0),"")</f>
        <v/>
      </c>
      <c r="W59" s="7">
        <f>IFERROR(ROUND(AVERAGEIFS(Datos!$G$2:$G$26103,Datos!$E$2:$E$26103,$A59,Datos!$B$2:$B$26103,18,Datos!$C$2:$C$26103,"&gt;=30",Datos!$F$2:$F$26103,"STANDBY"),0),"")</f>
        <v/>
      </c>
      <c r="X59" s="7">
        <f>IFERROR(ROUND(AVERAGEIFS(Datos!$G$2:$G$26103,Datos!$E$2:$E$26103,$A59,Datos!$B$2:$B$26103,19,Datos!$C$2:$C$26103,"&lt;30",Datos!$F$2:$F$26103,"STANDBY"),0),"")</f>
        <v/>
      </c>
      <c r="Y59" s="7">
        <f>IFERROR(ROUND(AVERAGEIFS(Datos!$G$2:$G$26103,Datos!$E$2:$E$26103,$A59,Datos!$B$2:$B$26103,19,Datos!$C$2:$C$26103,"&gt;=30",Datos!$F$2:$F$26103,"STANDBY"),0),"")</f>
        <v/>
      </c>
      <c r="Z59" s="7">
        <f>IFERROR(ROUND(AVERAGEIFS(Datos!$G$2:$G$26103,Datos!$E$2:$E$26103,$A59,Datos!$B$2:$B$26103,20,Datos!$C$2:$C$26103,"&lt;30",Datos!$F$2:$F$26103,"STANDBY"),0),"")</f>
        <v/>
      </c>
      <c r="AA59" s="7">
        <f>IFERROR(ROUND(AVERAGEIFS(Datos!$G$2:$G$26103,Datos!$E$2:$E$26103,$A59,Datos!$B$2:$B$26103,20,Datos!$C$2:$C$26103,"&gt;=30",Datos!$F$2:$F$26103,"STANDBY"),0),"")</f>
        <v/>
      </c>
      <c r="AB59" s="7">
        <f>IFERROR(ROUND(AVERAGEIFS(Datos!$G$2:$G$26103,Datos!$E$2:$E$26103,$A59,Datos!$B$2:$B$26103,21,Datos!$C$2:$C$26103,"&lt;30",Datos!$F$2:$F$26103,"STANDBY"),0),"")</f>
        <v/>
      </c>
      <c r="AC59" s="7">
        <f>IFERROR(ROUND(AVERAGEIFS(Datos!$G$2:$G$26103,Datos!$E$2:$E$26103,$A59,Datos!$B$2:$B$26103,21,Datos!$C$2:$C$26103,"&gt;=30",Datos!$F$2:$F$26103,"STANDBY"),0),"")</f>
        <v/>
      </c>
      <c r="AD59" s="7">
        <f>IFERROR(ROUND(AVERAGEIFS(Datos!$G$2:$G$26103,Datos!$E$2:$E$26103,$A59,Datos!$B$2:$B$26103,22,Datos!$C$2:$C$26103,"&lt;30",Datos!$F$2:$F$26103,"STANDBY"),0),"")</f>
        <v/>
      </c>
      <c r="AE59" s="7">
        <f>IFERROR(ROUND(AVERAGEIFS(Datos!$G$2:$G$26103,Datos!$E$2:$E$26103,$A59,Datos!$B$2:$B$26103,22,Datos!$C$2:$C$26103,"&gt;=30",Datos!$F$2:$F$26103,"STANDBY"),0),"")</f>
        <v/>
      </c>
      <c r="AF59" s="7">
        <f>IFERROR(ROUND(AVERAGEIFS(Datos!$G$2:$G$26103,Datos!$E$2:$E$26103,$A59,Datos!$B$2:$B$26103,23,Datos!$C$2:$C$26103,"&lt;30",Datos!$F$2:$F$26103,"STANDBY"),0),"")</f>
        <v/>
      </c>
      <c r="AG59" s="7">
        <f>IFERROR(ROUND(AVERAGEIFS(Datos!$G$2:$G$26103,Datos!$E$2:$E$26103,$A59,Datos!$B$2:$B$26103,23,Datos!$C$2:$C$26103,"&gt;=30",Datos!$F$2:$F$26103,"STANDBY"),0),"")</f>
        <v/>
      </c>
    </row>
    <row r="60">
      <c r="A60" s="6" t="inlineStr">
        <is>
          <t>Rustler Roundup Shootin' Gallery</t>
        </is>
      </c>
      <c r="B60" s="7">
        <f>IFERROR(ROUND(AVERAGEIFS(Datos!$G$2:$G$26103,Datos!$E$2:$E$26103,$A60,Datos!$B$2:$B$26103,8,Datos!$C$2:$C$26103,"&lt;30",Datos!$F$2:$F$26103,"STANDBY"),0),"")</f>
        <v/>
      </c>
      <c r="C60" s="7">
        <f>IFERROR(ROUND(AVERAGEIFS(Datos!$G$2:$G$26103,Datos!$E$2:$E$26103,$A60,Datos!$B$2:$B$26103,8,Datos!$C$2:$C$26103,"&gt;=30",Datos!$F$2:$F$26103,"STANDBY"),0),"")</f>
        <v/>
      </c>
      <c r="D60" s="7">
        <f>IFERROR(ROUND(AVERAGEIFS(Datos!$G$2:$G$26103,Datos!$E$2:$E$26103,$A60,Datos!$B$2:$B$26103,9,Datos!$C$2:$C$26103,"&lt;30",Datos!$F$2:$F$26103,"STANDBY"),0),"")</f>
        <v/>
      </c>
      <c r="E60" s="7">
        <f>IFERROR(ROUND(AVERAGEIFS(Datos!$G$2:$G$26103,Datos!$E$2:$E$26103,$A60,Datos!$B$2:$B$26103,9,Datos!$C$2:$C$26103,"&gt;=30",Datos!$F$2:$F$26103,"STANDBY"),0),"")</f>
        <v/>
      </c>
      <c r="F60" s="7">
        <f>IFERROR(ROUND(AVERAGEIFS(Datos!$G$2:$G$26103,Datos!$E$2:$E$26103,$A60,Datos!$B$2:$B$26103,10,Datos!$C$2:$C$26103,"&lt;30",Datos!$F$2:$F$26103,"STANDBY"),0),"")</f>
        <v/>
      </c>
      <c r="G60" s="7">
        <f>IFERROR(ROUND(AVERAGEIFS(Datos!$G$2:$G$26103,Datos!$E$2:$E$26103,$A60,Datos!$B$2:$B$26103,10,Datos!$C$2:$C$26103,"&gt;=30",Datos!$F$2:$F$26103,"STANDBY"),0),"")</f>
        <v/>
      </c>
      <c r="H60" s="7">
        <f>IFERROR(ROUND(AVERAGEIFS(Datos!$G$2:$G$26103,Datos!$E$2:$E$26103,$A60,Datos!$B$2:$B$26103,11,Datos!$C$2:$C$26103,"&lt;30",Datos!$F$2:$F$26103,"STANDBY"),0),"")</f>
        <v/>
      </c>
      <c r="I60" s="7">
        <f>IFERROR(ROUND(AVERAGEIFS(Datos!$G$2:$G$26103,Datos!$E$2:$E$26103,$A60,Datos!$B$2:$B$26103,11,Datos!$C$2:$C$26103,"&gt;=30",Datos!$F$2:$F$26103,"STANDBY"),0),"")</f>
        <v/>
      </c>
      <c r="J60" s="7">
        <f>IFERROR(ROUND(AVERAGEIFS(Datos!$G$2:$G$26103,Datos!$E$2:$E$26103,$A60,Datos!$B$2:$B$26103,12,Datos!$C$2:$C$26103,"&lt;30",Datos!$F$2:$F$26103,"STANDBY"),0),"")</f>
        <v/>
      </c>
      <c r="K60" s="7">
        <f>IFERROR(ROUND(AVERAGEIFS(Datos!$G$2:$G$26103,Datos!$E$2:$E$26103,$A60,Datos!$B$2:$B$26103,12,Datos!$C$2:$C$26103,"&gt;=30",Datos!$F$2:$F$26103,"STANDBY"),0),"")</f>
        <v/>
      </c>
      <c r="L60" s="7">
        <f>IFERROR(ROUND(AVERAGEIFS(Datos!$G$2:$G$26103,Datos!$E$2:$E$26103,$A60,Datos!$B$2:$B$26103,13,Datos!$C$2:$C$26103,"&lt;30",Datos!$F$2:$F$26103,"STANDBY"),0),"")</f>
        <v/>
      </c>
      <c r="M60" s="7">
        <f>IFERROR(ROUND(AVERAGEIFS(Datos!$G$2:$G$26103,Datos!$E$2:$E$26103,$A60,Datos!$B$2:$B$26103,13,Datos!$C$2:$C$26103,"&gt;=30",Datos!$F$2:$F$26103,"STANDBY"),0),"")</f>
        <v/>
      </c>
      <c r="N60" s="7">
        <f>IFERROR(ROUND(AVERAGEIFS(Datos!$G$2:$G$26103,Datos!$E$2:$E$26103,$A60,Datos!$B$2:$B$26103,14,Datos!$C$2:$C$26103,"&lt;30",Datos!$F$2:$F$26103,"STANDBY"),0),"")</f>
        <v/>
      </c>
      <c r="O60" s="7">
        <f>IFERROR(ROUND(AVERAGEIFS(Datos!$G$2:$G$26103,Datos!$E$2:$E$26103,$A60,Datos!$B$2:$B$26103,14,Datos!$C$2:$C$26103,"&gt;=30",Datos!$F$2:$F$26103,"STANDBY"),0),"")</f>
        <v/>
      </c>
      <c r="P60" s="7">
        <f>IFERROR(ROUND(AVERAGEIFS(Datos!$G$2:$G$26103,Datos!$E$2:$E$26103,$A60,Datos!$B$2:$B$26103,15,Datos!$C$2:$C$26103,"&lt;30",Datos!$F$2:$F$26103,"STANDBY"),0),"")</f>
        <v/>
      </c>
      <c r="Q60" s="7">
        <f>IFERROR(ROUND(AVERAGEIFS(Datos!$G$2:$G$26103,Datos!$E$2:$E$26103,$A60,Datos!$B$2:$B$26103,15,Datos!$C$2:$C$26103,"&gt;=30",Datos!$F$2:$F$26103,"STANDBY"),0),"")</f>
        <v/>
      </c>
      <c r="R60" s="7">
        <f>IFERROR(ROUND(AVERAGEIFS(Datos!$G$2:$G$26103,Datos!$E$2:$E$26103,$A60,Datos!$B$2:$B$26103,16,Datos!$C$2:$C$26103,"&lt;30",Datos!$F$2:$F$26103,"STANDBY"),0),"")</f>
        <v/>
      </c>
      <c r="S60" s="7">
        <f>IFERROR(ROUND(AVERAGEIFS(Datos!$G$2:$G$26103,Datos!$E$2:$E$26103,$A60,Datos!$B$2:$B$26103,16,Datos!$C$2:$C$26103,"&gt;=30",Datos!$F$2:$F$26103,"STANDBY"),0),"")</f>
        <v/>
      </c>
      <c r="T60" s="7">
        <f>IFERROR(ROUND(AVERAGEIFS(Datos!$G$2:$G$26103,Datos!$E$2:$E$26103,$A60,Datos!$B$2:$B$26103,17,Datos!$C$2:$C$26103,"&lt;30",Datos!$F$2:$F$26103,"STANDBY"),0),"")</f>
        <v/>
      </c>
      <c r="U60" s="7">
        <f>IFERROR(ROUND(AVERAGEIFS(Datos!$G$2:$G$26103,Datos!$E$2:$E$26103,$A60,Datos!$B$2:$B$26103,17,Datos!$C$2:$C$26103,"&gt;=30",Datos!$F$2:$F$26103,"STANDBY"),0),"")</f>
        <v/>
      </c>
      <c r="V60" s="7">
        <f>IFERROR(ROUND(AVERAGEIFS(Datos!$G$2:$G$26103,Datos!$E$2:$E$26103,$A60,Datos!$B$2:$B$26103,18,Datos!$C$2:$C$26103,"&lt;30",Datos!$F$2:$F$26103,"STANDBY"),0),"")</f>
        <v/>
      </c>
      <c r="W60" s="7">
        <f>IFERROR(ROUND(AVERAGEIFS(Datos!$G$2:$G$26103,Datos!$E$2:$E$26103,$A60,Datos!$B$2:$B$26103,18,Datos!$C$2:$C$26103,"&gt;=30",Datos!$F$2:$F$26103,"STANDBY"),0),"")</f>
        <v/>
      </c>
      <c r="X60" s="7">
        <f>IFERROR(ROUND(AVERAGEIFS(Datos!$G$2:$G$26103,Datos!$E$2:$E$26103,$A60,Datos!$B$2:$B$26103,19,Datos!$C$2:$C$26103,"&lt;30",Datos!$F$2:$F$26103,"STANDBY"),0),"")</f>
        <v/>
      </c>
      <c r="Y60" s="7">
        <f>IFERROR(ROUND(AVERAGEIFS(Datos!$G$2:$G$26103,Datos!$E$2:$E$26103,$A60,Datos!$B$2:$B$26103,19,Datos!$C$2:$C$26103,"&gt;=30",Datos!$F$2:$F$26103,"STANDBY"),0),"")</f>
        <v/>
      </c>
      <c r="Z60" s="7">
        <f>IFERROR(ROUND(AVERAGEIFS(Datos!$G$2:$G$26103,Datos!$E$2:$E$26103,$A60,Datos!$B$2:$B$26103,20,Datos!$C$2:$C$26103,"&lt;30",Datos!$F$2:$F$26103,"STANDBY"),0),"")</f>
        <v/>
      </c>
      <c r="AA60" s="7">
        <f>IFERROR(ROUND(AVERAGEIFS(Datos!$G$2:$G$26103,Datos!$E$2:$E$26103,$A60,Datos!$B$2:$B$26103,20,Datos!$C$2:$C$26103,"&gt;=30",Datos!$F$2:$F$26103,"STANDBY"),0),"")</f>
        <v/>
      </c>
      <c r="AB60" s="7">
        <f>IFERROR(ROUND(AVERAGEIFS(Datos!$G$2:$G$26103,Datos!$E$2:$E$26103,$A60,Datos!$B$2:$B$26103,21,Datos!$C$2:$C$26103,"&lt;30",Datos!$F$2:$F$26103,"STANDBY"),0),"")</f>
        <v/>
      </c>
      <c r="AC60" s="7">
        <f>IFERROR(ROUND(AVERAGEIFS(Datos!$G$2:$G$26103,Datos!$E$2:$E$26103,$A60,Datos!$B$2:$B$26103,21,Datos!$C$2:$C$26103,"&gt;=30",Datos!$F$2:$F$26103,"STANDBY"),0),"")</f>
        <v/>
      </c>
      <c r="AD60" s="7">
        <f>IFERROR(ROUND(AVERAGEIFS(Datos!$G$2:$G$26103,Datos!$E$2:$E$26103,$A60,Datos!$B$2:$B$26103,22,Datos!$C$2:$C$26103,"&lt;30",Datos!$F$2:$F$26103,"STANDBY"),0),"")</f>
        <v/>
      </c>
      <c r="AE60" s="7">
        <f>IFERROR(ROUND(AVERAGEIFS(Datos!$G$2:$G$26103,Datos!$E$2:$E$26103,$A60,Datos!$B$2:$B$26103,22,Datos!$C$2:$C$26103,"&gt;=30",Datos!$F$2:$F$26103,"STANDBY"),0),"")</f>
        <v/>
      </c>
      <c r="AF60" s="7">
        <f>IFERROR(ROUND(AVERAGEIFS(Datos!$G$2:$G$26103,Datos!$E$2:$E$26103,$A60,Datos!$B$2:$B$26103,23,Datos!$C$2:$C$26103,"&lt;30",Datos!$F$2:$F$26103,"STANDBY"),0),"")</f>
        <v/>
      </c>
      <c r="AG60" s="7">
        <f>IFERROR(ROUND(AVERAGEIFS(Datos!$G$2:$G$26103,Datos!$E$2:$E$26103,$A60,Datos!$B$2:$B$26103,23,Datos!$C$2:$C$26103,"&gt;=30",Datos!$F$2:$F$26103,"STANDBY"),0),"")</f>
        <v/>
      </c>
    </row>
    <row r="61">
      <c r="A61" s="6" t="inlineStr">
        <is>
          <t>Star Tours: The Adventures Continue*</t>
        </is>
      </c>
      <c r="B61" s="7">
        <f>IFERROR(ROUND(AVERAGEIFS(Datos!$G$2:$G$26103,Datos!$E$2:$E$26103,$A61,Datos!$B$2:$B$26103,8,Datos!$C$2:$C$26103,"&lt;30",Datos!$F$2:$F$26103,"STANDBY"),0),"")</f>
        <v/>
      </c>
      <c r="C61" s="7">
        <f>IFERROR(ROUND(AVERAGEIFS(Datos!$G$2:$G$26103,Datos!$E$2:$E$26103,$A61,Datos!$B$2:$B$26103,8,Datos!$C$2:$C$26103,"&gt;=30",Datos!$F$2:$F$26103,"STANDBY"),0),"")</f>
        <v/>
      </c>
      <c r="D61" s="7">
        <f>IFERROR(ROUND(AVERAGEIFS(Datos!$G$2:$G$26103,Datos!$E$2:$E$26103,$A61,Datos!$B$2:$B$26103,9,Datos!$C$2:$C$26103,"&lt;30",Datos!$F$2:$F$26103,"STANDBY"),0),"")</f>
        <v/>
      </c>
      <c r="E61" s="7">
        <f>IFERROR(ROUND(AVERAGEIFS(Datos!$G$2:$G$26103,Datos!$E$2:$E$26103,$A61,Datos!$B$2:$B$26103,9,Datos!$C$2:$C$26103,"&gt;=30",Datos!$F$2:$F$26103,"STANDBY"),0),"")</f>
        <v/>
      </c>
      <c r="F61" s="7">
        <f>IFERROR(ROUND(AVERAGEIFS(Datos!$G$2:$G$26103,Datos!$E$2:$E$26103,$A61,Datos!$B$2:$B$26103,10,Datos!$C$2:$C$26103,"&lt;30",Datos!$F$2:$F$26103,"STANDBY"),0),"")</f>
        <v/>
      </c>
      <c r="G61" s="7">
        <f>IFERROR(ROUND(AVERAGEIFS(Datos!$G$2:$G$26103,Datos!$E$2:$E$26103,$A61,Datos!$B$2:$B$26103,10,Datos!$C$2:$C$26103,"&gt;=30",Datos!$F$2:$F$26103,"STANDBY"),0),"")</f>
        <v/>
      </c>
      <c r="H61" s="7">
        <f>IFERROR(ROUND(AVERAGEIFS(Datos!$G$2:$G$26103,Datos!$E$2:$E$26103,$A61,Datos!$B$2:$B$26103,11,Datos!$C$2:$C$26103,"&lt;30",Datos!$F$2:$F$26103,"STANDBY"),0),"")</f>
        <v/>
      </c>
      <c r="I61" s="7">
        <f>IFERROR(ROUND(AVERAGEIFS(Datos!$G$2:$G$26103,Datos!$E$2:$E$26103,$A61,Datos!$B$2:$B$26103,11,Datos!$C$2:$C$26103,"&gt;=30",Datos!$F$2:$F$26103,"STANDBY"),0),"")</f>
        <v/>
      </c>
      <c r="J61" s="7">
        <f>IFERROR(ROUND(AVERAGEIFS(Datos!$G$2:$G$26103,Datos!$E$2:$E$26103,$A61,Datos!$B$2:$B$26103,12,Datos!$C$2:$C$26103,"&lt;30",Datos!$F$2:$F$26103,"STANDBY"),0),"")</f>
        <v/>
      </c>
      <c r="K61" s="7">
        <f>IFERROR(ROUND(AVERAGEIFS(Datos!$G$2:$G$26103,Datos!$E$2:$E$26103,$A61,Datos!$B$2:$B$26103,12,Datos!$C$2:$C$26103,"&gt;=30",Datos!$F$2:$F$26103,"STANDBY"),0),"")</f>
        <v/>
      </c>
      <c r="L61" s="7">
        <f>IFERROR(ROUND(AVERAGEIFS(Datos!$G$2:$G$26103,Datos!$E$2:$E$26103,$A61,Datos!$B$2:$B$26103,13,Datos!$C$2:$C$26103,"&lt;30",Datos!$F$2:$F$26103,"STANDBY"),0),"")</f>
        <v/>
      </c>
      <c r="M61" s="7">
        <f>IFERROR(ROUND(AVERAGEIFS(Datos!$G$2:$G$26103,Datos!$E$2:$E$26103,$A61,Datos!$B$2:$B$26103,13,Datos!$C$2:$C$26103,"&gt;=30",Datos!$F$2:$F$26103,"STANDBY"),0),"")</f>
        <v/>
      </c>
      <c r="N61" s="7">
        <f>IFERROR(ROUND(AVERAGEIFS(Datos!$G$2:$G$26103,Datos!$E$2:$E$26103,$A61,Datos!$B$2:$B$26103,14,Datos!$C$2:$C$26103,"&lt;30",Datos!$F$2:$F$26103,"STANDBY"),0),"")</f>
        <v/>
      </c>
      <c r="O61" s="7">
        <f>IFERROR(ROUND(AVERAGEIFS(Datos!$G$2:$G$26103,Datos!$E$2:$E$26103,$A61,Datos!$B$2:$B$26103,14,Datos!$C$2:$C$26103,"&gt;=30",Datos!$F$2:$F$26103,"STANDBY"),0),"")</f>
        <v/>
      </c>
      <c r="P61" s="7">
        <f>IFERROR(ROUND(AVERAGEIFS(Datos!$G$2:$G$26103,Datos!$E$2:$E$26103,$A61,Datos!$B$2:$B$26103,15,Datos!$C$2:$C$26103,"&lt;30",Datos!$F$2:$F$26103,"STANDBY"),0),"")</f>
        <v/>
      </c>
      <c r="Q61" s="7">
        <f>IFERROR(ROUND(AVERAGEIFS(Datos!$G$2:$G$26103,Datos!$E$2:$E$26103,$A61,Datos!$B$2:$B$26103,15,Datos!$C$2:$C$26103,"&gt;=30",Datos!$F$2:$F$26103,"STANDBY"),0),"")</f>
        <v/>
      </c>
      <c r="R61" s="7">
        <f>IFERROR(ROUND(AVERAGEIFS(Datos!$G$2:$G$26103,Datos!$E$2:$E$26103,$A61,Datos!$B$2:$B$26103,16,Datos!$C$2:$C$26103,"&lt;30",Datos!$F$2:$F$26103,"STANDBY"),0),"")</f>
        <v/>
      </c>
      <c r="S61" s="7">
        <f>IFERROR(ROUND(AVERAGEIFS(Datos!$G$2:$G$26103,Datos!$E$2:$E$26103,$A61,Datos!$B$2:$B$26103,16,Datos!$C$2:$C$26103,"&gt;=30",Datos!$F$2:$F$26103,"STANDBY"),0),"")</f>
        <v/>
      </c>
      <c r="T61" s="7">
        <f>IFERROR(ROUND(AVERAGEIFS(Datos!$G$2:$G$26103,Datos!$E$2:$E$26103,$A61,Datos!$B$2:$B$26103,17,Datos!$C$2:$C$26103,"&lt;30",Datos!$F$2:$F$26103,"STANDBY"),0),"")</f>
        <v/>
      </c>
      <c r="U61" s="7">
        <f>IFERROR(ROUND(AVERAGEIFS(Datos!$G$2:$G$26103,Datos!$E$2:$E$26103,$A61,Datos!$B$2:$B$26103,17,Datos!$C$2:$C$26103,"&gt;=30",Datos!$F$2:$F$26103,"STANDBY"),0),"")</f>
        <v/>
      </c>
      <c r="V61" s="7">
        <f>IFERROR(ROUND(AVERAGEIFS(Datos!$G$2:$G$26103,Datos!$E$2:$E$26103,$A61,Datos!$B$2:$B$26103,18,Datos!$C$2:$C$26103,"&lt;30",Datos!$F$2:$F$26103,"STANDBY"),0),"")</f>
        <v/>
      </c>
      <c r="W61" s="7">
        <f>IFERROR(ROUND(AVERAGEIFS(Datos!$G$2:$G$26103,Datos!$E$2:$E$26103,$A61,Datos!$B$2:$B$26103,18,Datos!$C$2:$C$26103,"&gt;=30",Datos!$F$2:$F$26103,"STANDBY"),0),"")</f>
        <v/>
      </c>
      <c r="X61" s="7">
        <f>IFERROR(ROUND(AVERAGEIFS(Datos!$G$2:$G$26103,Datos!$E$2:$E$26103,$A61,Datos!$B$2:$B$26103,19,Datos!$C$2:$C$26103,"&lt;30",Datos!$F$2:$F$26103,"STANDBY"),0),"")</f>
        <v/>
      </c>
      <c r="Y61" s="7">
        <f>IFERROR(ROUND(AVERAGEIFS(Datos!$G$2:$G$26103,Datos!$E$2:$E$26103,$A61,Datos!$B$2:$B$26103,19,Datos!$C$2:$C$26103,"&gt;=30",Datos!$F$2:$F$26103,"STANDBY"),0),"")</f>
        <v/>
      </c>
      <c r="Z61" s="7">
        <f>IFERROR(ROUND(AVERAGEIFS(Datos!$G$2:$G$26103,Datos!$E$2:$E$26103,$A61,Datos!$B$2:$B$26103,20,Datos!$C$2:$C$26103,"&lt;30",Datos!$F$2:$F$26103,"STANDBY"),0),"")</f>
        <v/>
      </c>
      <c r="AA61" s="7">
        <f>IFERROR(ROUND(AVERAGEIFS(Datos!$G$2:$G$26103,Datos!$E$2:$E$26103,$A61,Datos!$B$2:$B$26103,20,Datos!$C$2:$C$26103,"&gt;=30",Datos!$F$2:$F$26103,"STANDBY"),0),"")</f>
        <v/>
      </c>
      <c r="AB61" s="7">
        <f>IFERROR(ROUND(AVERAGEIFS(Datos!$G$2:$G$26103,Datos!$E$2:$E$26103,$A61,Datos!$B$2:$B$26103,21,Datos!$C$2:$C$26103,"&lt;30",Datos!$F$2:$F$26103,"STANDBY"),0),"")</f>
        <v/>
      </c>
      <c r="AC61" s="7">
        <f>IFERROR(ROUND(AVERAGEIFS(Datos!$G$2:$G$26103,Datos!$E$2:$E$26103,$A61,Datos!$B$2:$B$26103,21,Datos!$C$2:$C$26103,"&gt;=30",Datos!$F$2:$F$26103,"STANDBY"),0),"")</f>
        <v/>
      </c>
      <c r="AD61" s="7">
        <f>IFERROR(ROUND(AVERAGEIFS(Datos!$G$2:$G$26103,Datos!$E$2:$E$26103,$A61,Datos!$B$2:$B$26103,22,Datos!$C$2:$C$26103,"&lt;30",Datos!$F$2:$F$26103,"STANDBY"),0),"")</f>
        <v/>
      </c>
      <c r="AE61" s="7">
        <f>IFERROR(ROUND(AVERAGEIFS(Datos!$G$2:$G$26103,Datos!$E$2:$E$26103,$A61,Datos!$B$2:$B$26103,22,Datos!$C$2:$C$26103,"&gt;=30",Datos!$F$2:$F$26103,"STANDBY"),0),"")</f>
        <v/>
      </c>
      <c r="AF61" s="7">
        <f>IFERROR(ROUND(AVERAGEIFS(Datos!$G$2:$G$26103,Datos!$E$2:$E$26103,$A61,Datos!$B$2:$B$26103,23,Datos!$C$2:$C$26103,"&lt;30",Datos!$F$2:$F$26103,"STANDBY"),0),"")</f>
        <v/>
      </c>
      <c r="AG61" s="7">
        <f>IFERROR(ROUND(AVERAGEIFS(Datos!$G$2:$G$26103,Datos!$E$2:$E$26103,$A61,Datos!$B$2:$B$26103,23,Datos!$C$2:$C$26103,"&gt;=30",Datos!$F$2:$F$26103,"STANDBY"),0),"")</f>
        <v/>
      </c>
    </row>
    <row r="62">
      <c r="A62" s="6" t="inlineStr">
        <is>
          <t>Star Wars Hyperspace Mountain</t>
        </is>
      </c>
      <c r="B62" s="7">
        <f>IFERROR(ROUND(AVERAGEIFS(Datos!$G$2:$G$26103,Datos!$E$2:$E$26103,$A62,Datos!$B$2:$B$26103,8,Datos!$C$2:$C$26103,"&lt;30",Datos!$F$2:$F$26103,"STANDBY"),0),"")</f>
        <v/>
      </c>
      <c r="C62" s="7">
        <f>IFERROR(ROUND(AVERAGEIFS(Datos!$G$2:$G$26103,Datos!$E$2:$E$26103,$A62,Datos!$B$2:$B$26103,8,Datos!$C$2:$C$26103,"&gt;=30",Datos!$F$2:$F$26103,"STANDBY"),0),"")</f>
        <v/>
      </c>
      <c r="D62" s="7">
        <f>IFERROR(ROUND(AVERAGEIFS(Datos!$G$2:$G$26103,Datos!$E$2:$E$26103,$A62,Datos!$B$2:$B$26103,9,Datos!$C$2:$C$26103,"&lt;30",Datos!$F$2:$F$26103,"STANDBY"),0),"")</f>
        <v/>
      </c>
      <c r="E62" s="7">
        <f>IFERROR(ROUND(AVERAGEIFS(Datos!$G$2:$G$26103,Datos!$E$2:$E$26103,$A62,Datos!$B$2:$B$26103,9,Datos!$C$2:$C$26103,"&gt;=30",Datos!$F$2:$F$26103,"STANDBY"),0),"")</f>
        <v/>
      </c>
      <c r="F62" s="7">
        <f>IFERROR(ROUND(AVERAGEIFS(Datos!$G$2:$G$26103,Datos!$E$2:$E$26103,$A62,Datos!$B$2:$B$26103,10,Datos!$C$2:$C$26103,"&lt;30",Datos!$F$2:$F$26103,"STANDBY"),0),"")</f>
        <v/>
      </c>
      <c r="G62" s="7">
        <f>IFERROR(ROUND(AVERAGEIFS(Datos!$G$2:$G$26103,Datos!$E$2:$E$26103,$A62,Datos!$B$2:$B$26103,10,Datos!$C$2:$C$26103,"&gt;=30",Datos!$F$2:$F$26103,"STANDBY"),0),"")</f>
        <v/>
      </c>
      <c r="H62" s="7">
        <f>IFERROR(ROUND(AVERAGEIFS(Datos!$G$2:$G$26103,Datos!$E$2:$E$26103,$A62,Datos!$B$2:$B$26103,11,Datos!$C$2:$C$26103,"&lt;30",Datos!$F$2:$F$26103,"STANDBY"),0),"")</f>
        <v/>
      </c>
      <c r="I62" s="7">
        <f>IFERROR(ROUND(AVERAGEIFS(Datos!$G$2:$G$26103,Datos!$E$2:$E$26103,$A62,Datos!$B$2:$B$26103,11,Datos!$C$2:$C$26103,"&gt;=30",Datos!$F$2:$F$26103,"STANDBY"),0),"")</f>
        <v/>
      </c>
      <c r="J62" s="7">
        <f>IFERROR(ROUND(AVERAGEIFS(Datos!$G$2:$G$26103,Datos!$E$2:$E$26103,$A62,Datos!$B$2:$B$26103,12,Datos!$C$2:$C$26103,"&lt;30",Datos!$F$2:$F$26103,"STANDBY"),0),"")</f>
        <v/>
      </c>
      <c r="K62" s="7">
        <f>IFERROR(ROUND(AVERAGEIFS(Datos!$G$2:$G$26103,Datos!$E$2:$E$26103,$A62,Datos!$B$2:$B$26103,12,Datos!$C$2:$C$26103,"&gt;=30",Datos!$F$2:$F$26103,"STANDBY"),0),"")</f>
        <v/>
      </c>
      <c r="L62" s="7">
        <f>IFERROR(ROUND(AVERAGEIFS(Datos!$G$2:$G$26103,Datos!$E$2:$E$26103,$A62,Datos!$B$2:$B$26103,13,Datos!$C$2:$C$26103,"&lt;30",Datos!$F$2:$F$26103,"STANDBY"),0),"")</f>
        <v/>
      </c>
      <c r="M62" s="7">
        <f>IFERROR(ROUND(AVERAGEIFS(Datos!$G$2:$G$26103,Datos!$E$2:$E$26103,$A62,Datos!$B$2:$B$26103,13,Datos!$C$2:$C$26103,"&gt;=30",Datos!$F$2:$F$26103,"STANDBY"),0),"")</f>
        <v/>
      </c>
      <c r="N62" s="7">
        <f>IFERROR(ROUND(AVERAGEIFS(Datos!$G$2:$G$26103,Datos!$E$2:$E$26103,$A62,Datos!$B$2:$B$26103,14,Datos!$C$2:$C$26103,"&lt;30",Datos!$F$2:$F$26103,"STANDBY"),0),"")</f>
        <v/>
      </c>
      <c r="O62" s="7">
        <f>IFERROR(ROUND(AVERAGEIFS(Datos!$G$2:$G$26103,Datos!$E$2:$E$26103,$A62,Datos!$B$2:$B$26103,14,Datos!$C$2:$C$26103,"&gt;=30",Datos!$F$2:$F$26103,"STANDBY"),0),"")</f>
        <v/>
      </c>
      <c r="P62" s="7">
        <f>IFERROR(ROUND(AVERAGEIFS(Datos!$G$2:$G$26103,Datos!$E$2:$E$26103,$A62,Datos!$B$2:$B$26103,15,Datos!$C$2:$C$26103,"&lt;30",Datos!$F$2:$F$26103,"STANDBY"),0),"")</f>
        <v/>
      </c>
      <c r="Q62" s="7">
        <f>IFERROR(ROUND(AVERAGEIFS(Datos!$G$2:$G$26103,Datos!$E$2:$E$26103,$A62,Datos!$B$2:$B$26103,15,Datos!$C$2:$C$26103,"&gt;=30",Datos!$F$2:$F$26103,"STANDBY"),0),"")</f>
        <v/>
      </c>
      <c r="R62" s="7">
        <f>IFERROR(ROUND(AVERAGEIFS(Datos!$G$2:$G$26103,Datos!$E$2:$E$26103,$A62,Datos!$B$2:$B$26103,16,Datos!$C$2:$C$26103,"&lt;30",Datos!$F$2:$F$26103,"STANDBY"),0),"")</f>
        <v/>
      </c>
      <c r="S62" s="7">
        <f>IFERROR(ROUND(AVERAGEIFS(Datos!$G$2:$G$26103,Datos!$E$2:$E$26103,$A62,Datos!$B$2:$B$26103,16,Datos!$C$2:$C$26103,"&gt;=30",Datos!$F$2:$F$26103,"STANDBY"),0),"")</f>
        <v/>
      </c>
      <c r="T62" s="7">
        <f>IFERROR(ROUND(AVERAGEIFS(Datos!$G$2:$G$26103,Datos!$E$2:$E$26103,$A62,Datos!$B$2:$B$26103,17,Datos!$C$2:$C$26103,"&lt;30",Datos!$F$2:$F$26103,"STANDBY"),0),"")</f>
        <v/>
      </c>
      <c r="U62" s="7">
        <f>IFERROR(ROUND(AVERAGEIFS(Datos!$G$2:$G$26103,Datos!$E$2:$E$26103,$A62,Datos!$B$2:$B$26103,17,Datos!$C$2:$C$26103,"&gt;=30",Datos!$F$2:$F$26103,"STANDBY"),0),"")</f>
        <v/>
      </c>
      <c r="V62" s="7">
        <f>IFERROR(ROUND(AVERAGEIFS(Datos!$G$2:$G$26103,Datos!$E$2:$E$26103,$A62,Datos!$B$2:$B$26103,18,Datos!$C$2:$C$26103,"&lt;30",Datos!$F$2:$F$26103,"STANDBY"),0),"")</f>
        <v/>
      </c>
      <c r="W62" s="7">
        <f>IFERROR(ROUND(AVERAGEIFS(Datos!$G$2:$G$26103,Datos!$E$2:$E$26103,$A62,Datos!$B$2:$B$26103,18,Datos!$C$2:$C$26103,"&gt;=30",Datos!$F$2:$F$26103,"STANDBY"),0),"")</f>
        <v/>
      </c>
      <c r="X62" s="7">
        <f>IFERROR(ROUND(AVERAGEIFS(Datos!$G$2:$G$26103,Datos!$E$2:$E$26103,$A62,Datos!$B$2:$B$26103,19,Datos!$C$2:$C$26103,"&lt;30",Datos!$F$2:$F$26103,"STANDBY"),0),"")</f>
        <v/>
      </c>
      <c r="Y62" s="7">
        <f>IFERROR(ROUND(AVERAGEIFS(Datos!$G$2:$G$26103,Datos!$E$2:$E$26103,$A62,Datos!$B$2:$B$26103,19,Datos!$C$2:$C$26103,"&gt;=30",Datos!$F$2:$F$26103,"STANDBY"),0),"")</f>
        <v/>
      </c>
      <c r="Z62" s="7">
        <f>IFERROR(ROUND(AVERAGEIFS(Datos!$G$2:$G$26103,Datos!$E$2:$E$26103,$A62,Datos!$B$2:$B$26103,20,Datos!$C$2:$C$26103,"&lt;30",Datos!$F$2:$F$26103,"STANDBY"),0),"")</f>
        <v/>
      </c>
      <c r="AA62" s="7">
        <f>IFERROR(ROUND(AVERAGEIFS(Datos!$G$2:$G$26103,Datos!$E$2:$E$26103,$A62,Datos!$B$2:$B$26103,20,Datos!$C$2:$C$26103,"&gt;=30",Datos!$F$2:$F$26103,"STANDBY"),0),"")</f>
        <v/>
      </c>
      <c r="AB62" s="7">
        <f>IFERROR(ROUND(AVERAGEIFS(Datos!$G$2:$G$26103,Datos!$E$2:$E$26103,$A62,Datos!$B$2:$B$26103,21,Datos!$C$2:$C$26103,"&lt;30",Datos!$F$2:$F$26103,"STANDBY"),0),"")</f>
        <v/>
      </c>
      <c r="AC62" s="7">
        <f>IFERROR(ROUND(AVERAGEIFS(Datos!$G$2:$G$26103,Datos!$E$2:$E$26103,$A62,Datos!$B$2:$B$26103,21,Datos!$C$2:$C$26103,"&gt;=30",Datos!$F$2:$F$26103,"STANDBY"),0),"")</f>
        <v/>
      </c>
      <c r="AD62" s="7">
        <f>IFERROR(ROUND(AVERAGEIFS(Datos!$G$2:$G$26103,Datos!$E$2:$E$26103,$A62,Datos!$B$2:$B$26103,22,Datos!$C$2:$C$26103,"&lt;30",Datos!$F$2:$F$26103,"STANDBY"),0),"")</f>
        <v/>
      </c>
      <c r="AE62" s="7">
        <f>IFERROR(ROUND(AVERAGEIFS(Datos!$G$2:$G$26103,Datos!$E$2:$E$26103,$A62,Datos!$B$2:$B$26103,22,Datos!$C$2:$C$26103,"&gt;=30",Datos!$F$2:$F$26103,"STANDBY"),0),"")</f>
        <v/>
      </c>
      <c r="AF62" s="7">
        <f>IFERROR(ROUND(AVERAGEIFS(Datos!$G$2:$G$26103,Datos!$E$2:$E$26103,$A62,Datos!$B$2:$B$26103,23,Datos!$C$2:$C$26103,"&lt;30",Datos!$F$2:$F$26103,"STANDBY"),0),"")</f>
        <v/>
      </c>
      <c r="AG62" s="7">
        <f>IFERROR(ROUND(AVERAGEIFS(Datos!$G$2:$G$26103,Datos!$E$2:$E$26103,$A62,Datos!$B$2:$B$26103,23,Datos!$C$2:$C$26103,"&gt;=30",Datos!$F$2:$F$26103,"STANDBY"),0),"")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IFERROR(ROUND(AVERAGEIFS(Datos!$G$2:$G$26103,Datos!$E$2:$E$26103,$A63,Datos!$B$2:$B$26103,8,Datos!$C$2:$C$26103,"&lt;30",Datos!$F$2:$F$26103,"STANDBY"),0),"")</f>
        <v/>
      </c>
      <c r="C63" s="7">
        <f>IFERROR(ROUND(AVERAGEIFS(Datos!$G$2:$G$26103,Datos!$E$2:$E$26103,$A63,Datos!$B$2:$B$26103,8,Datos!$C$2:$C$26103,"&gt;=30",Datos!$F$2:$F$26103,"STANDBY"),0),"")</f>
        <v/>
      </c>
      <c r="D63" s="7">
        <f>IFERROR(ROUND(AVERAGEIFS(Datos!$G$2:$G$26103,Datos!$E$2:$E$26103,$A63,Datos!$B$2:$B$26103,9,Datos!$C$2:$C$26103,"&lt;30",Datos!$F$2:$F$26103,"STANDBY"),0),"")</f>
        <v/>
      </c>
      <c r="E63" s="7">
        <f>IFERROR(ROUND(AVERAGEIFS(Datos!$G$2:$G$26103,Datos!$E$2:$E$26103,$A63,Datos!$B$2:$B$26103,9,Datos!$C$2:$C$26103,"&gt;=30",Datos!$F$2:$F$26103,"STANDBY"),0),"")</f>
        <v/>
      </c>
      <c r="F63" s="7">
        <f>IFERROR(ROUND(AVERAGEIFS(Datos!$G$2:$G$26103,Datos!$E$2:$E$26103,$A63,Datos!$B$2:$B$26103,10,Datos!$C$2:$C$26103,"&lt;30",Datos!$F$2:$F$26103,"STANDBY"),0),"")</f>
        <v/>
      </c>
      <c r="G63" s="7">
        <f>IFERROR(ROUND(AVERAGEIFS(Datos!$G$2:$G$26103,Datos!$E$2:$E$26103,$A63,Datos!$B$2:$B$26103,10,Datos!$C$2:$C$26103,"&gt;=30",Datos!$F$2:$F$26103,"STANDBY"),0),"")</f>
        <v/>
      </c>
      <c r="H63" s="7">
        <f>IFERROR(ROUND(AVERAGEIFS(Datos!$G$2:$G$26103,Datos!$E$2:$E$26103,$A63,Datos!$B$2:$B$26103,11,Datos!$C$2:$C$26103,"&lt;30",Datos!$F$2:$F$26103,"STANDBY"),0),"")</f>
        <v/>
      </c>
      <c r="I63" s="7">
        <f>IFERROR(ROUND(AVERAGEIFS(Datos!$G$2:$G$26103,Datos!$E$2:$E$26103,$A63,Datos!$B$2:$B$26103,11,Datos!$C$2:$C$26103,"&gt;=30",Datos!$F$2:$F$26103,"STANDBY"),0),"")</f>
        <v/>
      </c>
      <c r="J63" s="7">
        <f>IFERROR(ROUND(AVERAGEIFS(Datos!$G$2:$G$26103,Datos!$E$2:$E$26103,$A63,Datos!$B$2:$B$26103,12,Datos!$C$2:$C$26103,"&lt;30",Datos!$F$2:$F$26103,"STANDBY"),0),"")</f>
        <v/>
      </c>
      <c r="K63" s="7">
        <f>IFERROR(ROUND(AVERAGEIFS(Datos!$G$2:$G$26103,Datos!$E$2:$E$26103,$A63,Datos!$B$2:$B$26103,12,Datos!$C$2:$C$26103,"&gt;=30",Datos!$F$2:$F$26103,"STANDBY"),0),"")</f>
        <v/>
      </c>
      <c r="L63" s="7">
        <f>IFERROR(ROUND(AVERAGEIFS(Datos!$G$2:$G$26103,Datos!$E$2:$E$26103,$A63,Datos!$B$2:$B$26103,13,Datos!$C$2:$C$26103,"&lt;30",Datos!$F$2:$F$26103,"STANDBY"),0),"")</f>
        <v/>
      </c>
      <c r="M63" s="7">
        <f>IFERROR(ROUND(AVERAGEIFS(Datos!$G$2:$G$26103,Datos!$E$2:$E$26103,$A63,Datos!$B$2:$B$26103,13,Datos!$C$2:$C$26103,"&gt;=30",Datos!$F$2:$F$26103,"STANDBY"),0),"")</f>
        <v/>
      </c>
      <c r="N63" s="7">
        <f>IFERROR(ROUND(AVERAGEIFS(Datos!$G$2:$G$26103,Datos!$E$2:$E$26103,$A63,Datos!$B$2:$B$26103,14,Datos!$C$2:$C$26103,"&lt;30",Datos!$F$2:$F$26103,"STANDBY"),0),"")</f>
        <v/>
      </c>
      <c r="O63" s="7">
        <f>IFERROR(ROUND(AVERAGEIFS(Datos!$G$2:$G$26103,Datos!$E$2:$E$26103,$A63,Datos!$B$2:$B$26103,14,Datos!$C$2:$C$26103,"&gt;=30",Datos!$F$2:$F$26103,"STANDBY"),0),"")</f>
        <v/>
      </c>
      <c r="P63" s="7">
        <f>IFERROR(ROUND(AVERAGEIFS(Datos!$G$2:$G$26103,Datos!$E$2:$E$26103,$A63,Datos!$B$2:$B$26103,15,Datos!$C$2:$C$26103,"&lt;30",Datos!$F$2:$F$26103,"STANDBY"),0),"")</f>
        <v/>
      </c>
      <c r="Q63" s="7">
        <f>IFERROR(ROUND(AVERAGEIFS(Datos!$G$2:$G$26103,Datos!$E$2:$E$26103,$A63,Datos!$B$2:$B$26103,15,Datos!$C$2:$C$26103,"&gt;=30",Datos!$F$2:$F$26103,"STANDBY"),0),"")</f>
        <v/>
      </c>
      <c r="R63" s="7">
        <f>IFERROR(ROUND(AVERAGEIFS(Datos!$G$2:$G$26103,Datos!$E$2:$E$26103,$A63,Datos!$B$2:$B$26103,16,Datos!$C$2:$C$26103,"&lt;30",Datos!$F$2:$F$26103,"STANDBY"),0),"")</f>
        <v/>
      </c>
      <c r="S63" s="7">
        <f>IFERROR(ROUND(AVERAGEIFS(Datos!$G$2:$G$26103,Datos!$E$2:$E$26103,$A63,Datos!$B$2:$B$26103,16,Datos!$C$2:$C$26103,"&gt;=30",Datos!$F$2:$F$26103,"STANDBY"),0),"")</f>
        <v/>
      </c>
      <c r="T63" s="7">
        <f>IFERROR(ROUND(AVERAGEIFS(Datos!$G$2:$G$26103,Datos!$E$2:$E$26103,$A63,Datos!$B$2:$B$26103,17,Datos!$C$2:$C$26103,"&lt;30",Datos!$F$2:$F$26103,"STANDBY"),0),"")</f>
        <v/>
      </c>
      <c r="U63" s="7">
        <f>IFERROR(ROUND(AVERAGEIFS(Datos!$G$2:$G$26103,Datos!$E$2:$E$26103,$A63,Datos!$B$2:$B$26103,17,Datos!$C$2:$C$26103,"&gt;=30",Datos!$F$2:$F$26103,"STANDBY"),0),"")</f>
        <v/>
      </c>
      <c r="V63" s="7">
        <f>IFERROR(ROUND(AVERAGEIFS(Datos!$G$2:$G$26103,Datos!$E$2:$E$26103,$A63,Datos!$B$2:$B$26103,18,Datos!$C$2:$C$26103,"&lt;30",Datos!$F$2:$F$26103,"STANDBY"),0),"")</f>
        <v/>
      </c>
      <c r="W63" s="7">
        <f>IFERROR(ROUND(AVERAGEIFS(Datos!$G$2:$G$26103,Datos!$E$2:$E$26103,$A63,Datos!$B$2:$B$26103,18,Datos!$C$2:$C$26103,"&gt;=30",Datos!$F$2:$F$26103,"STANDBY"),0),"")</f>
        <v/>
      </c>
      <c r="X63" s="7">
        <f>IFERROR(ROUND(AVERAGEIFS(Datos!$G$2:$G$26103,Datos!$E$2:$E$26103,$A63,Datos!$B$2:$B$26103,19,Datos!$C$2:$C$26103,"&lt;30",Datos!$F$2:$F$26103,"STANDBY"),0),"")</f>
        <v/>
      </c>
      <c r="Y63" s="7">
        <f>IFERROR(ROUND(AVERAGEIFS(Datos!$G$2:$G$26103,Datos!$E$2:$E$26103,$A63,Datos!$B$2:$B$26103,19,Datos!$C$2:$C$26103,"&gt;=30",Datos!$F$2:$F$26103,"STANDBY"),0),"")</f>
        <v/>
      </c>
      <c r="Z63" s="7">
        <f>IFERROR(ROUND(AVERAGEIFS(Datos!$G$2:$G$26103,Datos!$E$2:$E$26103,$A63,Datos!$B$2:$B$26103,20,Datos!$C$2:$C$26103,"&lt;30",Datos!$F$2:$F$26103,"STANDBY"),0),"")</f>
        <v/>
      </c>
      <c r="AA63" s="7">
        <f>IFERROR(ROUND(AVERAGEIFS(Datos!$G$2:$G$26103,Datos!$E$2:$E$26103,$A63,Datos!$B$2:$B$26103,20,Datos!$C$2:$C$26103,"&gt;=30",Datos!$F$2:$F$26103,"STANDBY"),0),"")</f>
        <v/>
      </c>
      <c r="AB63" s="7">
        <f>IFERROR(ROUND(AVERAGEIFS(Datos!$G$2:$G$26103,Datos!$E$2:$E$26103,$A63,Datos!$B$2:$B$26103,21,Datos!$C$2:$C$26103,"&lt;30",Datos!$F$2:$F$26103,"STANDBY"),0),"")</f>
        <v/>
      </c>
      <c r="AC63" s="7">
        <f>IFERROR(ROUND(AVERAGEIFS(Datos!$G$2:$G$26103,Datos!$E$2:$E$26103,$A63,Datos!$B$2:$B$26103,21,Datos!$C$2:$C$26103,"&gt;=30",Datos!$F$2:$F$26103,"STANDBY"),0),"")</f>
        <v/>
      </c>
      <c r="AD63" s="7">
        <f>IFERROR(ROUND(AVERAGEIFS(Datos!$G$2:$G$26103,Datos!$E$2:$E$26103,$A63,Datos!$B$2:$B$26103,22,Datos!$C$2:$C$26103,"&lt;30",Datos!$F$2:$F$26103,"STANDBY"),0),"")</f>
        <v/>
      </c>
      <c r="AE63" s="7">
        <f>IFERROR(ROUND(AVERAGEIFS(Datos!$G$2:$G$26103,Datos!$E$2:$E$26103,$A63,Datos!$B$2:$B$26103,22,Datos!$C$2:$C$26103,"&gt;=30",Datos!$F$2:$F$26103,"STANDBY"),0),"")</f>
        <v/>
      </c>
      <c r="AF63" s="7">
        <f>IFERROR(ROUND(AVERAGEIFS(Datos!$G$2:$G$26103,Datos!$E$2:$E$26103,$A63,Datos!$B$2:$B$26103,23,Datos!$C$2:$C$26103,"&lt;30",Datos!$F$2:$F$26103,"STANDBY"),0),"")</f>
        <v/>
      </c>
      <c r="AG63" s="7">
        <f>IFERROR(ROUND(AVERAGEIFS(Datos!$G$2:$G$26103,Datos!$E$2:$E$26103,$A63,Datos!$B$2:$B$26103,23,Datos!$C$2:$C$26103,"&gt;=30",Datos!$F$2:$F$26103,"STANDBY"),0),"")</f>
        <v/>
      </c>
    </row>
    <row r="64">
      <c r="A64" s="6" t="inlineStr">
        <is>
          <t>Thunder Mesa Riverboat Landing</t>
        </is>
      </c>
      <c r="B64" s="7">
        <f>IFERROR(ROUND(AVERAGEIFS(Datos!$G$2:$G$26103,Datos!$E$2:$E$26103,$A64,Datos!$B$2:$B$26103,8,Datos!$C$2:$C$26103,"&lt;30",Datos!$F$2:$F$26103,"STANDBY"),0),"")</f>
        <v/>
      </c>
      <c r="C64" s="7">
        <f>IFERROR(ROUND(AVERAGEIFS(Datos!$G$2:$G$26103,Datos!$E$2:$E$26103,$A64,Datos!$B$2:$B$26103,8,Datos!$C$2:$C$26103,"&gt;=30",Datos!$F$2:$F$26103,"STANDBY"),0),"")</f>
        <v/>
      </c>
      <c r="D64" s="7">
        <f>IFERROR(ROUND(AVERAGEIFS(Datos!$G$2:$G$26103,Datos!$E$2:$E$26103,$A64,Datos!$B$2:$B$26103,9,Datos!$C$2:$C$26103,"&lt;30",Datos!$F$2:$F$26103,"STANDBY"),0),"")</f>
        <v/>
      </c>
      <c r="E64" s="7">
        <f>IFERROR(ROUND(AVERAGEIFS(Datos!$G$2:$G$26103,Datos!$E$2:$E$26103,$A64,Datos!$B$2:$B$26103,9,Datos!$C$2:$C$26103,"&gt;=30",Datos!$F$2:$F$26103,"STANDBY"),0),"")</f>
        <v/>
      </c>
      <c r="F64" s="7">
        <f>IFERROR(ROUND(AVERAGEIFS(Datos!$G$2:$G$26103,Datos!$E$2:$E$26103,$A64,Datos!$B$2:$B$26103,10,Datos!$C$2:$C$26103,"&lt;30",Datos!$F$2:$F$26103,"STANDBY"),0),"")</f>
        <v/>
      </c>
      <c r="G64" s="7">
        <f>IFERROR(ROUND(AVERAGEIFS(Datos!$G$2:$G$26103,Datos!$E$2:$E$26103,$A64,Datos!$B$2:$B$26103,10,Datos!$C$2:$C$26103,"&gt;=30",Datos!$F$2:$F$26103,"STANDBY"),0),"")</f>
        <v/>
      </c>
      <c r="H64" s="7">
        <f>IFERROR(ROUND(AVERAGEIFS(Datos!$G$2:$G$26103,Datos!$E$2:$E$26103,$A64,Datos!$B$2:$B$26103,11,Datos!$C$2:$C$26103,"&lt;30",Datos!$F$2:$F$26103,"STANDBY"),0),"")</f>
        <v/>
      </c>
      <c r="I64" s="7">
        <f>IFERROR(ROUND(AVERAGEIFS(Datos!$G$2:$G$26103,Datos!$E$2:$E$26103,$A64,Datos!$B$2:$B$26103,11,Datos!$C$2:$C$26103,"&gt;=30",Datos!$F$2:$F$26103,"STANDBY"),0),"")</f>
        <v/>
      </c>
      <c r="J64" s="7">
        <f>IFERROR(ROUND(AVERAGEIFS(Datos!$G$2:$G$26103,Datos!$E$2:$E$26103,$A64,Datos!$B$2:$B$26103,12,Datos!$C$2:$C$26103,"&lt;30",Datos!$F$2:$F$26103,"STANDBY"),0),"")</f>
        <v/>
      </c>
      <c r="K64" s="7">
        <f>IFERROR(ROUND(AVERAGEIFS(Datos!$G$2:$G$26103,Datos!$E$2:$E$26103,$A64,Datos!$B$2:$B$26103,12,Datos!$C$2:$C$26103,"&gt;=30",Datos!$F$2:$F$26103,"STANDBY"),0),"")</f>
        <v/>
      </c>
      <c r="L64" s="7">
        <f>IFERROR(ROUND(AVERAGEIFS(Datos!$G$2:$G$26103,Datos!$E$2:$E$26103,$A64,Datos!$B$2:$B$26103,13,Datos!$C$2:$C$26103,"&lt;30",Datos!$F$2:$F$26103,"STANDBY"),0),"")</f>
        <v/>
      </c>
      <c r="M64" s="7">
        <f>IFERROR(ROUND(AVERAGEIFS(Datos!$G$2:$G$26103,Datos!$E$2:$E$26103,$A64,Datos!$B$2:$B$26103,13,Datos!$C$2:$C$26103,"&gt;=30",Datos!$F$2:$F$26103,"STANDBY"),0),"")</f>
        <v/>
      </c>
      <c r="N64" s="7">
        <f>IFERROR(ROUND(AVERAGEIFS(Datos!$G$2:$G$26103,Datos!$E$2:$E$26103,$A64,Datos!$B$2:$B$26103,14,Datos!$C$2:$C$26103,"&lt;30",Datos!$F$2:$F$26103,"STANDBY"),0),"")</f>
        <v/>
      </c>
      <c r="O64" s="7">
        <f>IFERROR(ROUND(AVERAGEIFS(Datos!$G$2:$G$26103,Datos!$E$2:$E$26103,$A64,Datos!$B$2:$B$26103,14,Datos!$C$2:$C$26103,"&gt;=30",Datos!$F$2:$F$26103,"STANDBY"),0),"")</f>
        <v/>
      </c>
      <c r="P64" s="7">
        <f>IFERROR(ROUND(AVERAGEIFS(Datos!$G$2:$G$26103,Datos!$E$2:$E$26103,$A64,Datos!$B$2:$B$26103,15,Datos!$C$2:$C$26103,"&lt;30",Datos!$F$2:$F$26103,"STANDBY"),0),"")</f>
        <v/>
      </c>
      <c r="Q64" s="7">
        <f>IFERROR(ROUND(AVERAGEIFS(Datos!$G$2:$G$26103,Datos!$E$2:$E$26103,$A64,Datos!$B$2:$B$26103,15,Datos!$C$2:$C$26103,"&gt;=30",Datos!$F$2:$F$26103,"STANDBY"),0),"")</f>
        <v/>
      </c>
      <c r="R64" s="7">
        <f>IFERROR(ROUND(AVERAGEIFS(Datos!$G$2:$G$26103,Datos!$E$2:$E$26103,$A64,Datos!$B$2:$B$26103,16,Datos!$C$2:$C$26103,"&lt;30",Datos!$F$2:$F$26103,"STANDBY"),0),"")</f>
        <v/>
      </c>
      <c r="S64" s="7">
        <f>IFERROR(ROUND(AVERAGEIFS(Datos!$G$2:$G$26103,Datos!$E$2:$E$26103,$A64,Datos!$B$2:$B$26103,16,Datos!$C$2:$C$26103,"&gt;=30",Datos!$F$2:$F$26103,"STANDBY"),0),"")</f>
        <v/>
      </c>
      <c r="T64" s="7">
        <f>IFERROR(ROUND(AVERAGEIFS(Datos!$G$2:$G$26103,Datos!$E$2:$E$26103,$A64,Datos!$B$2:$B$26103,17,Datos!$C$2:$C$26103,"&lt;30",Datos!$F$2:$F$26103,"STANDBY"),0),"")</f>
        <v/>
      </c>
      <c r="U64" s="7">
        <f>IFERROR(ROUND(AVERAGEIFS(Datos!$G$2:$G$26103,Datos!$E$2:$E$26103,$A64,Datos!$B$2:$B$26103,17,Datos!$C$2:$C$26103,"&gt;=30",Datos!$F$2:$F$26103,"STANDBY"),0),"")</f>
        <v/>
      </c>
      <c r="V64" s="7">
        <f>IFERROR(ROUND(AVERAGEIFS(Datos!$G$2:$G$26103,Datos!$E$2:$E$26103,$A64,Datos!$B$2:$B$26103,18,Datos!$C$2:$C$26103,"&lt;30",Datos!$F$2:$F$26103,"STANDBY"),0),"")</f>
        <v/>
      </c>
      <c r="W64" s="7">
        <f>IFERROR(ROUND(AVERAGEIFS(Datos!$G$2:$G$26103,Datos!$E$2:$E$26103,$A64,Datos!$B$2:$B$26103,18,Datos!$C$2:$C$26103,"&gt;=30",Datos!$F$2:$F$26103,"STANDBY"),0),"")</f>
        <v/>
      </c>
      <c r="X64" s="7">
        <f>IFERROR(ROUND(AVERAGEIFS(Datos!$G$2:$G$26103,Datos!$E$2:$E$26103,$A64,Datos!$B$2:$B$26103,19,Datos!$C$2:$C$26103,"&lt;30",Datos!$F$2:$F$26103,"STANDBY"),0),"")</f>
        <v/>
      </c>
      <c r="Y64" s="7">
        <f>IFERROR(ROUND(AVERAGEIFS(Datos!$G$2:$G$26103,Datos!$E$2:$E$26103,$A64,Datos!$B$2:$B$26103,19,Datos!$C$2:$C$26103,"&gt;=30",Datos!$F$2:$F$26103,"STANDBY"),0),"")</f>
        <v/>
      </c>
      <c r="Z64" s="7">
        <f>IFERROR(ROUND(AVERAGEIFS(Datos!$G$2:$G$26103,Datos!$E$2:$E$26103,$A64,Datos!$B$2:$B$26103,20,Datos!$C$2:$C$26103,"&lt;30",Datos!$F$2:$F$26103,"STANDBY"),0),"")</f>
        <v/>
      </c>
      <c r="AA64" s="7">
        <f>IFERROR(ROUND(AVERAGEIFS(Datos!$G$2:$G$26103,Datos!$E$2:$E$26103,$A64,Datos!$B$2:$B$26103,20,Datos!$C$2:$C$26103,"&gt;=30",Datos!$F$2:$F$26103,"STANDBY"),0),"")</f>
        <v/>
      </c>
      <c r="AB64" s="7">
        <f>IFERROR(ROUND(AVERAGEIFS(Datos!$G$2:$G$26103,Datos!$E$2:$E$26103,$A64,Datos!$B$2:$B$26103,21,Datos!$C$2:$C$26103,"&lt;30",Datos!$F$2:$F$26103,"STANDBY"),0),"")</f>
        <v/>
      </c>
      <c r="AC64" s="7">
        <f>IFERROR(ROUND(AVERAGEIFS(Datos!$G$2:$G$26103,Datos!$E$2:$E$26103,$A64,Datos!$B$2:$B$26103,21,Datos!$C$2:$C$26103,"&gt;=30",Datos!$F$2:$F$26103,"STANDBY"),0),"")</f>
        <v/>
      </c>
      <c r="AD64" s="7">
        <f>IFERROR(ROUND(AVERAGEIFS(Datos!$G$2:$G$26103,Datos!$E$2:$E$26103,$A64,Datos!$B$2:$B$26103,22,Datos!$C$2:$C$26103,"&lt;30",Datos!$F$2:$F$26103,"STANDBY"),0),"")</f>
        <v/>
      </c>
      <c r="AE64" s="7">
        <f>IFERROR(ROUND(AVERAGEIFS(Datos!$G$2:$G$26103,Datos!$E$2:$E$26103,$A64,Datos!$B$2:$B$26103,22,Datos!$C$2:$C$26103,"&gt;=30",Datos!$F$2:$F$26103,"STANDBY"),0),"")</f>
        <v/>
      </c>
      <c r="AF64" s="7">
        <f>IFERROR(ROUND(AVERAGEIFS(Datos!$G$2:$G$26103,Datos!$E$2:$E$26103,$A64,Datos!$B$2:$B$26103,23,Datos!$C$2:$C$26103,"&lt;30",Datos!$F$2:$F$26103,"STANDBY"),0),"")</f>
        <v/>
      </c>
      <c r="AG64" s="7">
        <f>IFERROR(ROUND(AVERAGEIFS(Datos!$G$2:$G$26103,Datos!$E$2:$E$26103,$A64,Datos!$B$2:$B$26103,23,Datos!$C$2:$C$26103,"&gt;=30",Datos!$F$2:$F$26103,"STANDBY"),0),"")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IFERROR(ROUND(AVERAGEIFS(Datos!$G$2:$G$26103,Datos!$E$2:$E$26103,$A65,Datos!$B$2:$B$26103,8,Datos!$C$2:$C$26103,"&lt;30",Datos!$F$2:$F$26103,"STANDBY"),0),"")</f>
        <v/>
      </c>
      <c r="C65" s="7">
        <f>IFERROR(ROUND(AVERAGEIFS(Datos!$G$2:$G$26103,Datos!$E$2:$E$26103,$A65,Datos!$B$2:$B$26103,8,Datos!$C$2:$C$26103,"&gt;=30",Datos!$F$2:$F$26103,"STANDBY"),0),"")</f>
        <v/>
      </c>
      <c r="D65" s="7">
        <f>IFERROR(ROUND(AVERAGEIFS(Datos!$G$2:$G$26103,Datos!$E$2:$E$26103,$A65,Datos!$B$2:$B$26103,9,Datos!$C$2:$C$26103,"&lt;30",Datos!$F$2:$F$26103,"STANDBY"),0),"")</f>
        <v/>
      </c>
      <c r="E65" s="7">
        <f>IFERROR(ROUND(AVERAGEIFS(Datos!$G$2:$G$26103,Datos!$E$2:$E$26103,$A65,Datos!$B$2:$B$26103,9,Datos!$C$2:$C$26103,"&gt;=30",Datos!$F$2:$F$26103,"STANDBY"),0),"")</f>
        <v/>
      </c>
      <c r="F65" s="7">
        <f>IFERROR(ROUND(AVERAGEIFS(Datos!$G$2:$G$26103,Datos!$E$2:$E$26103,$A65,Datos!$B$2:$B$26103,10,Datos!$C$2:$C$26103,"&lt;30",Datos!$F$2:$F$26103,"STANDBY"),0),"")</f>
        <v/>
      </c>
      <c r="G65" s="7">
        <f>IFERROR(ROUND(AVERAGEIFS(Datos!$G$2:$G$26103,Datos!$E$2:$E$26103,$A65,Datos!$B$2:$B$26103,10,Datos!$C$2:$C$26103,"&gt;=30",Datos!$F$2:$F$26103,"STANDBY"),0),"")</f>
        <v/>
      </c>
      <c r="H65" s="7">
        <f>IFERROR(ROUND(AVERAGEIFS(Datos!$G$2:$G$26103,Datos!$E$2:$E$26103,$A65,Datos!$B$2:$B$26103,11,Datos!$C$2:$C$26103,"&lt;30",Datos!$F$2:$F$26103,"STANDBY"),0),"")</f>
        <v/>
      </c>
      <c r="I65" s="7">
        <f>IFERROR(ROUND(AVERAGEIFS(Datos!$G$2:$G$26103,Datos!$E$2:$E$26103,$A65,Datos!$B$2:$B$26103,11,Datos!$C$2:$C$26103,"&gt;=30",Datos!$F$2:$F$26103,"STANDBY"),0),"")</f>
        <v/>
      </c>
      <c r="J65" s="7">
        <f>IFERROR(ROUND(AVERAGEIFS(Datos!$G$2:$G$26103,Datos!$E$2:$E$26103,$A65,Datos!$B$2:$B$26103,12,Datos!$C$2:$C$26103,"&lt;30",Datos!$F$2:$F$26103,"STANDBY"),0),"")</f>
        <v/>
      </c>
      <c r="K65" s="7">
        <f>IFERROR(ROUND(AVERAGEIFS(Datos!$G$2:$G$26103,Datos!$E$2:$E$26103,$A65,Datos!$B$2:$B$26103,12,Datos!$C$2:$C$26103,"&gt;=30",Datos!$F$2:$F$26103,"STANDBY"),0),"")</f>
        <v/>
      </c>
      <c r="L65" s="7">
        <f>IFERROR(ROUND(AVERAGEIFS(Datos!$G$2:$G$26103,Datos!$E$2:$E$26103,$A65,Datos!$B$2:$B$26103,13,Datos!$C$2:$C$26103,"&lt;30",Datos!$F$2:$F$26103,"STANDBY"),0),"")</f>
        <v/>
      </c>
      <c r="M65" s="7">
        <f>IFERROR(ROUND(AVERAGEIFS(Datos!$G$2:$G$26103,Datos!$E$2:$E$26103,$A65,Datos!$B$2:$B$26103,13,Datos!$C$2:$C$26103,"&gt;=30",Datos!$F$2:$F$26103,"STANDBY"),0),"")</f>
        <v/>
      </c>
      <c r="N65" s="7">
        <f>IFERROR(ROUND(AVERAGEIFS(Datos!$G$2:$G$26103,Datos!$E$2:$E$26103,$A65,Datos!$B$2:$B$26103,14,Datos!$C$2:$C$26103,"&lt;30",Datos!$F$2:$F$26103,"STANDBY"),0),"")</f>
        <v/>
      </c>
      <c r="O65" s="7">
        <f>IFERROR(ROUND(AVERAGEIFS(Datos!$G$2:$G$26103,Datos!$E$2:$E$26103,$A65,Datos!$B$2:$B$26103,14,Datos!$C$2:$C$26103,"&gt;=30",Datos!$F$2:$F$26103,"STANDBY"),0),"")</f>
        <v/>
      </c>
      <c r="P65" s="7">
        <f>IFERROR(ROUND(AVERAGEIFS(Datos!$G$2:$G$26103,Datos!$E$2:$E$26103,$A65,Datos!$B$2:$B$26103,15,Datos!$C$2:$C$26103,"&lt;30",Datos!$F$2:$F$26103,"STANDBY"),0),"")</f>
        <v/>
      </c>
      <c r="Q65" s="7">
        <f>IFERROR(ROUND(AVERAGEIFS(Datos!$G$2:$G$26103,Datos!$E$2:$E$26103,$A65,Datos!$B$2:$B$26103,15,Datos!$C$2:$C$26103,"&gt;=30",Datos!$F$2:$F$26103,"STANDBY"),0),"")</f>
        <v/>
      </c>
      <c r="R65" s="7">
        <f>IFERROR(ROUND(AVERAGEIFS(Datos!$G$2:$G$26103,Datos!$E$2:$E$26103,$A65,Datos!$B$2:$B$26103,16,Datos!$C$2:$C$26103,"&lt;30",Datos!$F$2:$F$26103,"STANDBY"),0),"")</f>
        <v/>
      </c>
      <c r="S65" s="7">
        <f>IFERROR(ROUND(AVERAGEIFS(Datos!$G$2:$G$26103,Datos!$E$2:$E$26103,$A65,Datos!$B$2:$B$26103,16,Datos!$C$2:$C$26103,"&gt;=30",Datos!$F$2:$F$26103,"STANDBY"),0),"")</f>
        <v/>
      </c>
      <c r="T65" s="7">
        <f>IFERROR(ROUND(AVERAGEIFS(Datos!$G$2:$G$26103,Datos!$E$2:$E$26103,$A65,Datos!$B$2:$B$26103,17,Datos!$C$2:$C$26103,"&lt;30",Datos!$F$2:$F$26103,"STANDBY"),0),"")</f>
        <v/>
      </c>
      <c r="U65" s="7">
        <f>IFERROR(ROUND(AVERAGEIFS(Datos!$G$2:$G$26103,Datos!$E$2:$E$26103,$A65,Datos!$B$2:$B$26103,17,Datos!$C$2:$C$26103,"&gt;=30",Datos!$F$2:$F$26103,"STANDBY"),0),"")</f>
        <v/>
      </c>
      <c r="V65" s="7">
        <f>IFERROR(ROUND(AVERAGEIFS(Datos!$G$2:$G$26103,Datos!$E$2:$E$26103,$A65,Datos!$B$2:$B$26103,18,Datos!$C$2:$C$26103,"&lt;30",Datos!$F$2:$F$26103,"STANDBY"),0),"")</f>
        <v/>
      </c>
      <c r="W65" s="7">
        <f>IFERROR(ROUND(AVERAGEIFS(Datos!$G$2:$G$26103,Datos!$E$2:$E$26103,$A65,Datos!$B$2:$B$26103,18,Datos!$C$2:$C$26103,"&gt;=30",Datos!$F$2:$F$26103,"STANDBY"),0),"")</f>
        <v/>
      </c>
      <c r="X65" s="7">
        <f>IFERROR(ROUND(AVERAGEIFS(Datos!$G$2:$G$26103,Datos!$E$2:$E$26103,$A65,Datos!$B$2:$B$26103,19,Datos!$C$2:$C$26103,"&lt;30",Datos!$F$2:$F$26103,"STANDBY"),0),"")</f>
        <v/>
      </c>
      <c r="Y65" s="7">
        <f>IFERROR(ROUND(AVERAGEIFS(Datos!$G$2:$G$26103,Datos!$E$2:$E$26103,$A65,Datos!$B$2:$B$26103,19,Datos!$C$2:$C$26103,"&gt;=30",Datos!$F$2:$F$26103,"STANDBY"),0),"")</f>
        <v/>
      </c>
      <c r="Z65" s="7">
        <f>IFERROR(ROUND(AVERAGEIFS(Datos!$G$2:$G$26103,Datos!$E$2:$E$26103,$A65,Datos!$B$2:$B$26103,20,Datos!$C$2:$C$26103,"&lt;30",Datos!$F$2:$F$26103,"STANDBY"),0),"")</f>
        <v/>
      </c>
      <c r="AA65" s="7">
        <f>IFERROR(ROUND(AVERAGEIFS(Datos!$G$2:$G$26103,Datos!$E$2:$E$26103,$A65,Datos!$B$2:$B$26103,20,Datos!$C$2:$C$26103,"&gt;=30",Datos!$F$2:$F$26103,"STANDBY"),0),"")</f>
        <v/>
      </c>
      <c r="AB65" s="7">
        <f>IFERROR(ROUND(AVERAGEIFS(Datos!$G$2:$G$26103,Datos!$E$2:$E$26103,$A65,Datos!$B$2:$B$26103,21,Datos!$C$2:$C$26103,"&lt;30",Datos!$F$2:$F$26103,"STANDBY"),0),"")</f>
        <v/>
      </c>
      <c r="AC65" s="7">
        <f>IFERROR(ROUND(AVERAGEIFS(Datos!$G$2:$G$26103,Datos!$E$2:$E$26103,$A65,Datos!$B$2:$B$26103,21,Datos!$C$2:$C$26103,"&gt;=30",Datos!$F$2:$F$26103,"STANDBY"),0),"")</f>
        <v/>
      </c>
      <c r="AD65" s="7">
        <f>IFERROR(ROUND(AVERAGEIFS(Datos!$G$2:$G$26103,Datos!$E$2:$E$26103,$A65,Datos!$B$2:$B$26103,22,Datos!$C$2:$C$26103,"&lt;30",Datos!$F$2:$F$26103,"STANDBY"),0),"")</f>
        <v/>
      </c>
      <c r="AE65" s="7">
        <f>IFERROR(ROUND(AVERAGEIFS(Datos!$G$2:$G$26103,Datos!$E$2:$E$26103,$A65,Datos!$B$2:$B$26103,22,Datos!$C$2:$C$26103,"&gt;=30",Datos!$F$2:$F$26103,"STANDBY"),0),"")</f>
        <v/>
      </c>
      <c r="AF65" s="7">
        <f>IFERROR(ROUND(AVERAGEIFS(Datos!$G$2:$G$26103,Datos!$E$2:$E$26103,$A65,Datos!$B$2:$B$26103,23,Datos!$C$2:$C$26103,"&lt;30",Datos!$F$2:$F$26103,"STANDBY"),0),"")</f>
        <v/>
      </c>
      <c r="AG65" s="7">
        <f>IFERROR(ROUND(AVERAGEIFS(Datos!$G$2:$G$26103,Datos!$E$2:$E$26103,$A65,Datos!$B$2:$B$26103,23,Datos!$C$2:$C$26103,"&gt;=30",Datos!$F$2:$F$26103,"STANDBY"),0),"")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2026-08-05T16:01:19Z</dcterms:created>
  <dcterms:modified xsi:type="dcterms:W3CDTF">2026-08-05T16:01:22Z</dcterms:modified>
</cp:coreProperties>
</file>